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defaultThemeVersion="202300"/>
  <mc:AlternateContent xmlns:mc="http://schemas.openxmlformats.org/markup-compatibility/2006">
    <mc:Choice Requires="x15">
      <x15ac:absPath xmlns:x15ac="http://schemas.microsoft.com/office/spreadsheetml/2010/11/ac" url="/Users/chitrangidoshi/Documents/Buisness Analyst/Case Study/Tiimo/Requirements Gathering/data/"/>
    </mc:Choice>
  </mc:AlternateContent>
  <xr:revisionPtr revIDLastSave="0" documentId="13_ncr:1_{526C8839-137D-214D-9144-133FF401BB80}" xr6:coauthVersionLast="47" xr6:coauthVersionMax="47" xr10:uidLastSave="{00000000-0000-0000-0000-000000000000}"/>
  <bookViews>
    <workbookView xWindow="0" yWindow="0" windowWidth="28800" windowHeight="18000" activeTab="3" xr2:uid="{2FB0AE8A-2267-DE43-819F-70F6865A7B3C}"/>
  </bookViews>
  <sheets>
    <sheet name="VOC_Data" sheetId="1" r:id="rId1"/>
    <sheet name="Tagged_Batch" sheetId="3" r:id="rId2"/>
    <sheet name="Pivot Table" sheetId="4" r:id="rId3"/>
    <sheet name="Stakeholder Matrix" sheetId="5" r:id="rId4"/>
    <sheet name="Power Interest Grid" sheetId="6" r:id="rId5"/>
  </sheets>
  <definedNames>
    <definedName name="_xlnm._FilterDatabase" localSheetId="1" hidden="1">Tagged_Batch!$B$1:$C$114</definedName>
    <definedName name="_xlnm._FilterDatabase" localSheetId="0" hidden="1">VOC_Data!$H$1:$H$114</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5" l="1"/>
  <c r="E3" i="5"/>
  <c r="E4" i="5"/>
  <c r="E5" i="5"/>
  <c r="E6" i="5"/>
  <c r="E7" i="5"/>
  <c r="E8" i="5"/>
  <c r="E9" i="5"/>
  <c r="E10" i="5"/>
  <c r="E11" i="5"/>
  <c r="E12" i="5"/>
  <c r="E13" i="5"/>
  <c r="E14" i="5"/>
  <c r="E15" i="5"/>
  <c r="E16" i="5"/>
  <c r="A78" i="1"/>
  <c r="A42" i="1"/>
  <c r="A41" i="1"/>
  <c r="A40" i="1"/>
  <c r="A39" i="1"/>
  <c r="A38" i="1"/>
  <c r="A13" i="1"/>
  <c r="A12" i="1"/>
  <c r="A11" i="1"/>
  <c r="A113" i="1"/>
  <c r="A77" i="1"/>
  <c r="A76" i="1"/>
  <c r="A63" i="1"/>
  <c r="A75" i="1"/>
  <c r="A74" i="1"/>
  <c r="A14" i="1"/>
  <c r="A112" i="1"/>
  <c r="A103" i="1"/>
  <c r="A114" i="1"/>
  <c r="A43" i="1"/>
  <c r="A44" i="1"/>
  <c r="A45" i="1"/>
  <c r="A46" i="1"/>
  <c r="A47" i="1"/>
  <c r="A48" i="1"/>
  <c r="A49" i="1"/>
  <c r="A50" i="1"/>
  <c r="A51" i="1"/>
  <c r="A52" i="1"/>
  <c r="A53" i="1"/>
  <c r="A54" i="1"/>
  <c r="A55" i="1"/>
  <c r="A56" i="1"/>
  <c r="A57" i="1"/>
  <c r="A58" i="1"/>
  <c r="A59" i="1"/>
  <c r="A60" i="1"/>
  <c r="A61" i="1"/>
  <c r="A62" i="1"/>
  <c r="A64" i="1"/>
  <c r="A65" i="1"/>
  <c r="A66" i="1"/>
  <c r="A67" i="1"/>
  <c r="A68" i="1"/>
  <c r="A69" i="1"/>
  <c r="A70" i="1"/>
  <c r="A71" i="1"/>
  <c r="A72" i="1"/>
  <c r="A73" i="1"/>
  <c r="A79" i="1"/>
  <c r="A80" i="1"/>
  <c r="A104" i="1"/>
  <c r="A105" i="1"/>
  <c r="A106" i="1"/>
  <c r="A107" i="1"/>
  <c r="A108" i="1"/>
  <c r="A109" i="1"/>
  <c r="A110" i="1"/>
  <c r="A111" i="1"/>
  <c r="A2" i="1"/>
  <c r="A3" i="1"/>
  <c r="A4" i="1"/>
  <c r="A5" i="1"/>
  <c r="A6" i="1"/>
  <c r="A7" i="1"/>
  <c r="A8" i="1"/>
  <c r="A9" i="1"/>
  <c r="A10" i="1"/>
  <c r="A18" i="1"/>
  <c r="A19" i="1"/>
  <c r="A20" i="1"/>
  <c r="A21" i="1"/>
  <c r="A22" i="1"/>
  <c r="A23" i="1"/>
  <c r="A24" i="1"/>
  <c r="A25" i="1"/>
  <c r="A26" i="1"/>
  <c r="A27" i="1"/>
  <c r="A28" i="1"/>
  <c r="A29" i="1"/>
  <c r="A30" i="1"/>
  <c r="A31" i="1"/>
  <c r="A32" i="1"/>
  <c r="A33" i="1"/>
  <c r="A34" i="1"/>
  <c r="A35" i="1"/>
  <c r="A36" i="1"/>
  <c r="A37" i="1"/>
  <c r="A15" i="1"/>
  <c r="A16" i="1"/>
  <c r="A17" i="1"/>
  <c r="A82" i="1"/>
  <c r="A83" i="1"/>
  <c r="A84" i="1"/>
  <c r="A85" i="1"/>
  <c r="A86" i="1"/>
  <c r="A87" i="1"/>
  <c r="A88" i="1"/>
  <c r="A89" i="1"/>
  <c r="A90" i="1"/>
  <c r="A91" i="1"/>
  <c r="A92" i="1"/>
  <c r="A93" i="1"/>
  <c r="A94" i="1"/>
  <c r="A95" i="1"/>
  <c r="A96" i="1"/>
  <c r="A97" i="1"/>
  <c r="A98" i="1"/>
  <c r="A99" i="1"/>
  <c r="A100" i="1"/>
  <c r="A101" i="1"/>
  <c r="A102" i="1"/>
  <c r="A81" i="1"/>
  <c r="G57" i="1" l="1" a="1"/>
  <c r="G53" i="1" a="1"/>
  <c r="G78" i="1" a="1"/>
  <c r="G56" i="1" a="1"/>
  <c r="G63" i="1" a="1"/>
  <c r="G62" i="1" a="1"/>
  <c r="G61" i="1" a="1"/>
  <c r="G58" i="1" a="1"/>
  <c r="G52" i="1" a="1"/>
  <c r="G76" i="1" a="1"/>
  <c r="G24" i="1" a="1"/>
  <c r="G20" i="1" a="1"/>
  <c r="G9" i="1" a="1"/>
  <c r="G70" i="1" a="1"/>
  <c r="G67" i="1" a="1"/>
  <c r="G66" i="1" a="1"/>
  <c r="G49" i="1" a="1"/>
  <c r="G48" i="1" a="1"/>
  <c r="G14" i="1" a="1"/>
  <c r="G23" i="1" a="1"/>
  <c r="G19" i="1" a="1"/>
  <c r="G40" i="1" a="1"/>
  <c r="G39" i="1" a="1"/>
  <c r="G38" i="1" a="1"/>
  <c r="G13" i="1" a="1"/>
  <c r="G12" i="1" a="1"/>
  <c r="G11" i="1" a="1"/>
  <c r="G113" i="1" a="1"/>
  <c r="G74" i="1" a="1"/>
  <c r="G6" i="1" a="1"/>
  <c r="G3" i="1" a="1"/>
  <c r="G2" i="1" a="1"/>
  <c r="G109" i="1" a="1"/>
  <c r="G108" i="1" a="1"/>
  <c r="G105" i="1" a="1"/>
  <c r="G104" i="1" a="1"/>
  <c r="G73" i="1" a="1"/>
  <c r="G103" i="1" a="1"/>
  <c r="G43" i="1" a="1"/>
  <c r="G42" i="1" a="1"/>
  <c r="G114" i="1" a="1"/>
  <c r="G44" i="1" a="1"/>
  <c r="G82" i="1" a="1"/>
  <c r="G83" i="1" a="1"/>
  <c r="G85" i="1" a="1"/>
  <c r="G86" i="1" a="1"/>
  <c r="G87" i="1" a="1"/>
  <c r="G88" i="1" a="1"/>
  <c r="G89" i="1" a="1"/>
  <c r="G90" i="1" a="1"/>
  <c r="G91" i="1" a="1"/>
  <c r="G92" i="1" a="1"/>
  <c r="G93" i="1" a="1"/>
  <c r="G94" i="1" a="1"/>
  <c r="G95" i="1" a="1"/>
  <c r="G96" i="1" a="1"/>
  <c r="G97" i="1" a="1"/>
  <c r="G98" i="1" a="1"/>
  <c r="G99" i="1" a="1"/>
  <c r="G100" i="1" a="1"/>
  <c r="G101" i="1" a="1"/>
  <c r="G102" i="1" a="1"/>
  <c r="G112" i="1" a="1"/>
  <c r="G46" i="1" a="1"/>
  <c r="G50" i="1" a="1"/>
  <c r="G54" i="1" a="1"/>
  <c r="G60" i="1" a="1"/>
  <c r="G65" i="1" a="1"/>
  <c r="G69" i="1" a="1"/>
  <c r="G72" i="1" a="1"/>
  <c r="G107" i="1" a="1"/>
  <c r="G111" i="1" a="1"/>
  <c r="G5" i="1" a="1"/>
  <c r="G8" i="1" a="1"/>
  <c r="G18" i="1" a="1"/>
  <c r="G22" i="1" a="1"/>
  <c r="G26" i="1" a="1"/>
  <c r="G81" i="1" a="1"/>
  <c r="G41" i="1" a="1"/>
  <c r="G77" i="1" a="1"/>
  <c r="G75" i="1" a="1"/>
  <c r="G45" i="1" a="1"/>
  <c r="G47" i="1" a="1"/>
  <c r="G51" i="1" a="1"/>
  <c r="G55" i="1" a="1"/>
  <c r="G59" i="1" a="1"/>
  <c r="G64" i="1" a="1"/>
  <c r="G68" i="1" a="1"/>
  <c r="G71" i="1" a="1"/>
  <c r="G79" i="1" a="1"/>
  <c r="G106" i="1" a="1"/>
  <c r="G110" i="1" a="1"/>
  <c r="G4" i="1" a="1"/>
  <c r="G7" i="1" a="1"/>
  <c r="G10" i="1" a="1"/>
  <c r="G21" i="1" a="1"/>
  <c r="G25" i="1" a="1"/>
  <c r="G84" i="1" a="1"/>
  <c r="G36" i="1" a="1"/>
  <c r="G37" i="1" a="1"/>
  <c r="G15" i="1" a="1"/>
  <c r="G16" i="1" a="1"/>
  <c r="G17" i="1" a="1"/>
  <c r="G35" i="1" a="1"/>
  <c r="G34" i="1" a="1"/>
  <c r="G33" i="1" a="1"/>
  <c r="G31" i="1" a="1"/>
  <c r="G32" i="1" a="1"/>
  <c r="G30" i="1" a="1"/>
  <c r="G29" i="1" a="1"/>
  <c r="G28" i="1" a="1"/>
  <c r="G27" i="1" a="1"/>
  <c r="G80" i="1" l="1" a="1"/>
  <c r="G57" i="1"/>
  <c r="G53" i="1"/>
  <c r="G78" i="1"/>
  <c r="G56" i="1"/>
  <c r="G63" i="1"/>
  <c r="G62" i="1"/>
  <c r="G61" i="1"/>
  <c r="G58" i="1"/>
  <c r="G52" i="1"/>
  <c r="G76" i="1"/>
  <c r="G24" i="1"/>
  <c r="G20" i="1"/>
  <c r="G9" i="1"/>
  <c r="G70" i="1"/>
  <c r="G67" i="1"/>
  <c r="G66" i="1"/>
  <c r="G49" i="1"/>
  <c r="G48" i="1"/>
  <c r="G14" i="1"/>
  <c r="G23" i="1"/>
  <c r="G19" i="1"/>
  <c r="G40" i="1"/>
  <c r="G39" i="1"/>
  <c r="G38" i="1"/>
  <c r="G13" i="1"/>
  <c r="G12" i="1"/>
  <c r="G113" i="1"/>
  <c r="G74" i="1"/>
  <c r="G6" i="1"/>
  <c r="G3" i="1"/>
  <c r="G2" i="1"/>
  <c r="G109" i="1"/>
  <c r="G108" i="1"/>
  <c r="G105" i="1"/>
  <c r="G104" i="1"/>
  <c r="G73" i="1"/>
  <c r="G103" i="1"/>
  <c r="G43" i="1"/>
  <c r="G102" i="1"/>
  <c r="G42" i="1"/>
  <c r="G114" i="1"/>
  <c r="G44" i="1"/>
  <c r="G82" i="1"/>
  <c r="G83" i="1"/>
  <c r="G85" i="1"/>
  <c r="G86" i="1"/>
  <c r="G87" i="1"/>
  <c r="G88" i="1"/>
  <c r="G89" i="1"/>
  <c r="G90" i="1"/>
  <c r="G92" i="1"/>
  <c r="G93" i="1"/>
  <c r="G94" i="1"/>
  <c r="G95" i="1"/>
  <c r="G96" i="1"/>
  <c r="G97" i="1"/>
  <c r="G98" i="1"/>
  <c r="G99" i="1"/>
  <c r="G101" i="1"/>
  <c r="G91" i="1"/>
  <c r="G100" i="1"/>
  <c r="G11" i="1"/>
  <c r="G112" i="1"/>
  <c r="G51" i="1"/>
  <c r="G68" i="1"/>
  <c r="G46" i="1"/>
  <c r="G5" i="1"/>
  <c r="G55" i="1"/>
  <c r="G54" i="1"/>
  <c r="G60" i="1"/>
  <c r="G65" i="1"/>
  <c r="G69" i="1"/>
  <c r="G72" i="1"/>
  <c r="G107" i="1"/>
  <c r="G18" i="1"/>
  <c r="G26" i="1"/>
  <c r="G81" i="1"/>
  <c r="G41" i="1"/>
  <c r="G77" i="1"/>
  <c r="G75" i="1"/>
  <c r="G45" i="1"/>
  <c r="G47" i="1"/>
  <c r="G59" i="1"/>
  <c r="G79" i="1"/>
  <c r="G106" i="1"/>
  <c r="G110" i="1"/>
  <c r="G4" i="1"/>
  <c r="G7" i="1"/>
  <c r="G10" i="1"/>
  <c r="G21" i="1"/>
  <c r="G25" i="1"/>
  <c r="G8" i="1"/>
  <c r="G64" i="1"/>
  <c r="G50" i="1"/>
  <c r="G111" i="1"/>
  <c r="G22" i="1"/>
  <c r="G71" i="1"/>
  <c r="G84" i="1"/>
  <c r="G36" i="1"/>
  <c r="G15" i="1"/>
  <c r="G37" i="1"/>
  <c r="G16" i="1"/>
  <c r="G17" i="1"/>
  <c r="G35" i="1"/>
  <c r="G34" i="1"/>
  <c r="G33" i="1"/>
  <c r="G31" i="1"/>
  <c r="G32" i="1"/>
  <c r="G30" i="1"/>
  <c r="G29" i="1"/>
  <c r="G28" i="1"/>
  <c r="G27" i="1"/>
  <c r="G8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<sst xmlns="http://schemas.openxmlformats.org/spreadsheetml/2006/main" count="1101" uniqueCount="374">
  <si>
    <t>Source</t>
  </si>
  <si>
    <t>Rating</t>
  </si>
  <si>
    <t>Review_Id</t>
  </si>
  <si>
    <t>Raw_Review_Text</t>
  </si>
  <si>
    <t>Churn_Signal</t>
  </si>
  <si>
    <t>URL</t>
  </si>
  <si>
    <t>Source_Code</t>
  </si>
  <si>
    <t>NOLT</t>
  </si>
  <si>
    <t>NT</t>
  </si>
  <si>
    <t>I really used the routine feature and I don’t mind that you guys changed it except for the fact that the sub tasks aren’t timed. I really used the timed sub tasks that automatically went on to the next one. That was one of the main reasons I used this app and bought premium was because the routines really helped me. Unfortunately this app is slightly less useful for me now and I don’t use it very often. Thank you for your consideration.</t>
  </si>
  <si>
    <t>Really need auto save on this app. Sometimes I get distracted and move away from creating a task and it’ll just disappear and I have to start over.</t>
  </si>
  <si>
    <t>I NEED to time everything not just the main task to understand how long each sub task will take me, this can help calculate estimated time of main task vs actual time completed</t>
  </si>
  <si>
    <t>Please revert to the way routines were previously set up in the app. The removal of this feature makes the app far less useful to me.</t>
  </si>
  <si>
    <t>https://tiimo.nolt.io/2733</t>
  </si>
  <si>
    <t>https://tiimo.nolt.io/2794</t>
  </si>
  <si>
    <t>https://tiimo.nolt.io/2555</t>
  </si>
  <si>
    <t>https://tiimo.nolt.io/2553</t>
  </si>
  <si>
    <t>Apple changed how widgets work, grr. Rather than being a live extension of the app they are now a snapshot of the app and any changes made need to be pushed to the widget. Please dear Tiimo developers can you integrate the new functionality (APNs) to push to widgets when changes have been made.</t>
  </si>
  <si>
    <t>https://tiimo.nolt.io/3980</t>
  </si>
  <si>
    <t>Create features for people always traveling / digital nomads</t>
  </si>
  <si>
    <t>https://tiimo.nolt.io/3969</t>
  </si>
  <si>
    <t>It would be very helpful to have a way to retain routines and insert as needed. For example, clean a bedroom. The suggested tasks were not the same as what I need so I created my own list. It would be nice to have a specific space to keep the routine to move it to the day I have available to clean the room. I have it in to do but it’s just too cluttered there.</t>
  </si>
  <si>
    <t>https://tiimo.nolt.io/3963</t>
  </si>
  <si>
    <t>the ai is very difficult to use. it doesn’t do what i ask it when i list tasks, and it straight up stopped responding to me after sending it tasks. unfortunately, this feature seems incomplete. it works hit or miss for me, at best :(</t>
  </si>
  <si>
    <t>https://tiimo.nolt.io/3979</t>
  </si>
  <si>
    <t>Don't force peolpe to sign up to a free tiral just to try it</t>
  </si>
  <si>
    <t>https://tiimo.nolt.io/3949</t>
  </si>
  <si>
    <t>I’m happy to pay what I need to but just want to know that what I’m paying for will work for me. Trying to assess that in a week is like asking me to completely assemble a rocket ship (without an instruction manual) in one week</t>
  </si>
  <si>
    <t>https://tiimo.nolt.io/3948</t>
  </si>
  <si>
    <t>Please can you change the default time to “at time” and prompt to put in the time rather than defaulting to “morning”, “day” etc whe you’re in the calendar mode. Thank you.</t>
  </si>
  <si>
    <t>https://tiimo.nolt.io/3943</t>
  </si>
  <si>
    <t>I cannot connect to my external calendar at all on my Mac. It allows me to select calendars then when I save it says I am not connected to any. Very frustrating. Cannot find help function to report</t>
  </si>
  <si>
    <t>https://tiimo.nolt.io/3938</t>
  </si>
  <si>
    <t>View only Android (temporary solution)</t>
  </si>
  <si>
    <t>https://tiimo.nolt.io/3887</t>
  </si>
  <si>
    <t>Please bring this to android, myself and about 6 or 7 friends can’t believe you aren’t!</t>
  </si>
  <si>
    <t>https://tiimo.nolt.io/3951</t>
  </si>
  <si>
    <t>Is there an android app available in the UK? Unable to find in play store</t>
  </si>
  <si>
    <t>https://tiimo.nolt.io/3707</t>
  </si>
  <si>
    <t>The layout and easy use of Timo is great, but it’s lack of integration with Apple health for things like steps, workout, water, cycle really limits its use and cost making it no more useful than a paper diary</t>
  </si>
  <si>
    <t>The one-time special purchase offer should be accessible at a later time via the app settings. Especially people with ADHD for whom the app is developed need to be able to access that offer at another time. So far I’ve been given this offer briefly one time but of course I was or have gotten distracted I would have otherwise purchased it but now I can’t get back to it.</t>
  </si>
  <si>
    <t>https://tiimo.nolt.io/3880</t>
  </si>
  <si>
    <t>https://tiimo.nolt.io/3928</t>
  </si>
  <si>
    <t>A single time purchase that unlocks all non ai features.</t>
  </si>
  <si>
    <t>https://tiimo.nolt.io/3769</t>
  </si>
  <si>
    <t>I think the ability to integrate a specific notion database tasks and have them sync into Tiimo with support for subtasks would really boost the app without need to build a huge backend for it.</t>
  </si>
  <si>
    <t>https://tiimo.nolt.io/3713</t>
  </si>
  <si>
    <t>NT_001</t>
  </si>
  <si>
    <t>yes</t>
  </si>
  <si>
    <t>NT_002</t>
  </si>
  <si>
    <t>no</t>
  </si>
  <si>
    <t>NT_003</t>
  </si>
  <si>
    <t>NT_004</t>
  </si>
  <si>
    <t>NT_005</t>
  </si>
  <si>
    <t>NT_006</t>
  </si>
  <si>
    <t>NT_007</t>
  </si>
  <si>
    <t>NT_008</t>
  </si>
  <si>
    <t>NT_009</t>
  </si>
  <si>
    <t>NT_010</t>
  </si>
  <si>
    <t>NT_011</t>
  </si>
  <si>
    <t>NT_012</t>
  </si>
  <si>
    <t>NT_013</t>
  </si>
  <si>
    <t>NT_014</t>
  </si>
  <si>
    <t>NT_015</t>
  </si>
  <si>
    <t>NT_016</t>
  </si>
  <si>
    <t>NT_017</t>
  </si>
  <si>
    <t>NT_018</t>
  </si>
  <si>
    <t>NT_019</t>
  </si>
  <si>
    <t>Tiimo never syncs to my Apple Watch and constantly signs me out on it</t>
  </si>
  <si>
    <t>https://www.reddit.com/r/structuredapp/comments/1iifnv6/switching_to_tiimo/</t>
  </si>
  <si>
    <t>REDDIT</t>
  </si>
  <si>
    <t>RD</t>
  </si>
  <si>
    <t>I’m autistic so while the idea of a visual timeline and structure should work, I found it too rigid, and that’s saying something! Basically it fed into my autistic rigidity and if I was late starting a task and it had a countdown in it, I’d be feeling really pressured.</t>
  </si>
  <si>
    <t>I currently use Tiimo and absolutely LOVE it. However I’m currently having issues with the newest iOS update. I’m not getting any of my calendar task notifications from Tiimo. It’s very frustrating. I reached out and they were sending it to their dev team. I haven’t heard anything after that.</t>
  </si>
  <si>
    <t> I would NOT recommend paying for the app. It has a lot of issues with some basic features. I have connected with the support about them but they’ve gone silent after awhile so I don’t have a lot of faith in them being fixed. Some key issues have to do with a big part of the app - timers. Timers not pausing, timers pausing when they shouldn’t, timers adding time when they shouldn’t, etc. I would say the app is best used when you are not using the timers but using it as a task bank/scheduler.</t>
  </si>
  <si>
    <t>https://www.reddit.com/r/ADHD/comments/1ghym17/my_thoughts_on_the_adhd_app_tiimo_an_app_to_help/</t>
  </si>
  <si>
    <t>The took money and i have no access. Wrote many emails - zero contact. Cannot even cancel subsricption as I have no access to the account. this is beyond ridiculous. I dont believe they have any customer service team at all. NO ONE IS RESPONDING - not even an automatic email. But payment was taken - they didnt have problem with that. Another SCAM????</t>
  </si>
  <si>
    <t>https://www.trustpilot.com/review/tiimoapp.com?stars=1</t>
  </si>
  <si>
    <t>TRUST PILOT</t>
  </si>
  <si>
    <t>TP</t>
  </si>
  <si>
    <t>I signed up for a 7 day trial and was hit with a fee for $54 for a year of service. I asked for a refund as I had not even opened the app the day I was notified of the charge. My request was denied. In their marketing, they state that they help people with ADHD. I was 1 day past the 7 day trial and they offer no forgiveness. Seems like they're hard up for cash. Do not sign up for service with these guys. I doubt they will be around in 2 years.</t>
  </si>
  <si>
    <t>The free trial offers make it sound easy to unsubscribe, but in fact it looks like it's impossible to unsubscribe - there's no unsubscribe/cancel option to click anywhere, and it says you have to remember what platform you signed up on more</t>
  </si>
  <si>
    <t>The desktop version doesn't synchronize with the iphone so you have to choose which platform you will use it on. The apple watch view doesn't include calendar information. I've put in requests for information and bug fixes with no response. I do like how the app functions on my phone. It is nice to have calendar appointments and a place for tasks to be listed and prioritized to structure my day. One of the bugs is needed to import the calendar every time the app is opened</t>
  </si>
  <si>
    <t>the app is missing so many basic features like why can't I see the entire calendar at once? why can't l access the routines or make time blocks that are visible?</t>
  </si>
  <si>
    <t>I love this for planning but the live activity that shows which item to focus on via the lock screen is invisible 90% of the time</t>
  </si>
  <si>
    <t>I had high hopes for this app, but after trying it out for a few days, I've discovered that there are odd bugs as surprises everywhere. For example, after setting up a time and task list, I went into create an emoji. When ! finished and went back to my task list it had changed completely in timing. It was no longer sorted morning day and evening for example. I tried to search an answer to why this happened and could find nothing. Also, for unknown reasons, the pinch to change calendar view does not work at all. The only thing I seem to be able to do is make a task, put in the details, and hope that it goes to the right place at the right time. After this initial experience, I would not pay for a pro version.</t>
  </si>
  <si>
    <t>I have had the app on my android phone for a while. It was buggy and not great so | left it be for a while seeing as you had commented on reviews y'all were working on updates. So when I see the app on my iPad I use for school, I wanted to give it another go. It has been a good experience so far so I tried to log in to the android app. Imagine my surprise that you just GOT RID OF IT??????</t>
  </si>
  <si>
    <t>It was perfect for adhd and now it must be perfect for everyone else except adhd brain.</t>
  </si>
  <si>
    <t>The routines, the ability to set a duration of time and then set the end time and the app would automatically set the start time. THAT is precisely what my neurodivergent brain NEEDS and that is exactly what I paid for. But it was taken away I keep waiting for them to bring it back but instead they keep adding things that I don't need.</t>
  </si>
  <si>
    <t>The best app I've ever used in my entire life until they took away routines. They say now to just use the tasks but that is in no way the same. I LOVED having my different routines saved and under each routine you have sub tasks and can put how long each tasks takes. This is immensely helpful to those with ADHD and who are time blind.</t>
  </si>
  <si>
    <t>When I first did the trial for the app, I loved it and therefore moved ahead with the $45 purchase for a year. This company obviously doesn't know the ADHD brain. Yesterday I went to add an event and the entire screen was flipped and different. We need routine - we need things to stay the same once we learn it. I went from recommending this app to everyone to being upset and looking for a new app.</t>
  </si>
  <si>
    <t>I would really love if there was a way to assign an alert to tasks in the to do folder. Based off of how urgent they are. High priority alerts every day etc...</t>
  </si>
  <si>
    <t>This app could not import all my calendars from Google calendar. It was unable to "see"/ import my most important one. The app was not intuitive to use, I found it confusing and frustrating. I could not figure out how to even get back to calendar importing to try again.</t>
  </si>
  <si>
    <t>I don’t understand it anymore. I used to use it for my daily routine every single day but the updates have made it confusing and unusable for me. I don’t know how to add, delete, or edit tasks in my routine, and things that didn’t used to require premium now do. Very sad about this.</t>
  </si>
  <si>
    <t>I have been a Lifetime Subscriber and user for over a year. This truly inspired app *had* the best thing going for people needing help with task avoidance: easy, repeatable, customizable *routines.* It was AMAZING and I used it all the time, when simply having a to-do on the calendar wasn’t enough. AND THEN THEY GOT RID OF IT. THEIR BEST FEATURE.</t>
  </si>
  <si>
    <t>Tiimo has a stunning interface and a calming aesthetic, but unfortunately, that’s not enough. The routines feature is completely missing, which is baffling given the app's purpose. Without routines or the ability to include subtasks with custom times, the app falls short of supporting those with executive functioning challenges — the very group it's marketed to help.</t>
  </si>
  <si>
    <t>I have used Tiimo for over 5 years (this is the reason I got an Apple Watch) but since removing routines the app is pointless. They took away their best feature, claim to ‘care about their audience’ and refuse to add routines back in-spite of hundreds of complaints from users that they need that feature. \n\nWhat they started with was great! Routines! A visual timer! Great! Lots of icons! Great!\n\nBut the app is now over engineered with a bunch of nonsense (pages of ‘tips’ for managing your ADHD or ASD (distracting and adds clutter)), a mood tracker (tons of other apps do this better), music for some reason??</t>
  </si>
  <si>
    <t>RD_001</t>
  </si>
  <si>
    <t>RD_002</t>
  </si>
  <si>
    <t>RD_003</t>
  </si>
  <si>
    <t>RD_004</t>
  </si>
  <si>
    <t>TP_001</t>
  </si>
  <si>
    <t xml:space="preserve">Added app but could not try, or test drive, just had to sign up. It appears this adds tasks to your calendar, however after multiple tries it would not sync with my calendar. Do not download if you have ADHD, it just causes stress. </t>
  </si>
  <si>
    <t xml:space="preserve">I loved the idea of the app. My main goal was to synchronize with my watch to know what I should be focusing next. But it just doesn't synchronize properly. I have to constantly be updating it for it to find the next task </t>
  </si>
  <si>
    <t>Android</t>
  </si>
  <si>
    <t>Has So Many Great Features!! but is glitchy &amp; doesn’t save edits often. I am wasting a lot of time trying to edit &amp; save the edit of a task.\n\n1. Dragging to dos &amp; daily tasks to change priority doesn’t always work. Sometimes they bounce back to the original priority\n\n2. Changing set time to daily task to all day keeps reverting back to original set time after save\n\n3. Editing Title of To Do usually removes the save button &amp; you have to click around to bring it back because the DONE button doesn’t work. \n\n4. DONE actually makes a keyboard return in the Title &amp; that breaks it. Now you can’t save it. \n\nI might cancel after the free trial because the glitchy bugs are so frustrating &amp; waste a lot of time which I already struggle managing.</t>
  </si>
  <si>
    <t>Heard about on adhd chatter and really wanted to like it. Setup felt clunky and the interface felt old to me.</t>
  </si>
  <si>
    <t>I really loved this app when I first got it almost a year ago! It was very intricate and encouraging to get things done, even with my ADHD symptoms. \n\nNow, I feel like it’s gotten a lot more bland and buggy. I don’t get consistent notifications for my scheduled tasks, and checking off items leaves them stuck in the list of I check them off too fast. \n\nI’m paying for the premium version of this app yearly, but now I’m considering not renewing because of how disappointing it has become. I hope the devs can get out back to what it was, or better!!</t>
  </si>
  <si>
    <t>I work best with native desktop apps (being on my phone is incredibly distracting), so I tried the web app. While it works, it does not have all the same features as the iPhone app (like “anytime” folder just isn’t there, so I can’t add something to ‘anytime’, nor schedule a task from ‘anytime’) and they just *do not* sync properly. I wanted to leave a review bc I really like this app, but it’s unusable for me the way it is, so I hope some great improvements are made (native desktop??) so it can be even better.</t>
  </si>
  <si>
    <t>I love the concept of this app but it is SO GLITCHY it’s becoming unusable for me. I have been using it for a year and there are so many bugs. It’s so frustrating. I’m about to delete it because every day there’s new issues</t>
  </si>
  <si>
    <t xml:space="preserve">It regular has glitches that keep me from being able to add or edit a task. I get the spinning wheel of death a lot. The integration \nwith Google and outlook calendars was exactly the right idea, but that too is unreliable. </t>
  </si>
  <si>
    <t>I like the app when it’s working but I keep getting crashes! Like every other minute. If I close a bunch of open apps it works but If any other apps are in the background the app crashes and closes.</t>
  </si>
  <si>
    <t>Ever since the new OS 26 update the app has been very glitchy. Sometimes it won’t work. As soon as I open the app, in less than 2 seconds, the app closes. As for my calendars, they don’t sync. Although on the calendar import settings it shows both of them as “active”. That has been going on for a week now. I loved this app but until that’s fixed I’ll be using a different app.</t>
  </si>
  <si>
    <t>Some of the functionalities/ automations are really cool like the countdown clock during an event. but I had a lot of issues with glitching, it maybe just too many features, or that it’s getting used a lot more all around by folks after winning app of the year. I may just like my current process better and prefer apps like ticktick for my flow. I appreciate the neurodivergent tools being created for us!</t>
  </si>
  <si>
    <t>This app looks potentially great, but In having several frustrations:\n1.  I’m trying to check out the free version and a prompt to leave a review pops up literally every time I create a new task, so my time demoing the app is very interrupted. The cost is $54 / year or a whopping $12/ month (for reference, TickTick is an amazing app that costs just $35.99 yearly or $3.99 / month, and most other great to-do list apps are in a similar range). Without getting to even test out the advanced features, I see no reason to buy this app or any reason why this price tag could be worth it..</t>
  </si>
  <si>
    <t>Having problems getting every event and task from all calendars on the app"</t>
  </si>
  <si>
    <t>Cons” section (learning curve; not ideal for minimalists).</t>
  </si>
  <si>
    <t>https://twit.tv/posts/tech/how-tiimo-makes-task-and-time-management-easier-neurodiverse-users</t>
  </si>
  <si>
    <t>BLOG</t>
  </si>
  <si>
    <t>BG</t>
  </si>
  <si>
    <t>calls out “common criticism” such as learning curve and subscription price.</t>
  </si>
  <si>
    <t>https://yourappland.com/tiimo-vs-structured-comparison/</t>
  </si>
  <si>
    <t>I’ve been using Tiimo for almost a year now, and I love it because I’m terrible at keeping track of time. They took routines away a while back, and I think it was a bad move, but I continued to use the app. Fast-forward to now, and I’m disappointed because the app is more buggy than ever.</t>
  </si>
  <si>
    <t>https://www.reddit.com/r/ADHD/comments/1jff09x/recommendations_for_apps_similar_to_tiimo/</t>
  </si>
  <si>
    <t>i like tiimo, but i don't like how drastically they changed the app. i started using it last summer to help schedule my day, and i love the timers feature. i even paid for the premium version because i liked it so much. but then they changed the entire UI/UX and i didn't like it anymore. i don't adjust well to change and i was so upset that an app i loved changed so much. i really love the specific way tiimo's timers work though, so i might try the free version again just for that purpose.</t>
  </si>
  <si>
    <t>https://www.reddit.com/r/adhdwomen/comments/1pa8e14/has_anyone_of_you_used_tiimo_or_things_3_apps/</t>
  </si>
  <si>
    <t>Im an ex-Tiimo and current Llama Life user and I just want to replicate the timer-based routine functionality of these apps in Marvin. Can anyone share their setup to achieve this?</t>
  </si>
  <si>
    <t>https://www.reddit.com/r/amazingmarvin/comments/1jiaecv/daily_routines_beat_the_clock_is_blank/</t>
  </si>
  <si>
    <t>I tried the tiimo app but I've learned that they removed routines altogether and it's all based on "AI" now. I tried to enter events in as best as I could but it failed to save or retrieve them constantly and eventually I got it all sorted and went back to the dashboard only to find that there were no events what soever, nothing saved or it was all erased. This was within one hour of extremely frustrating attempts to use this thing, I got pretty upset over it. Shame, I heard it was great for routines before all of this nonsense.</t>
  </si>
  <si>
    <t>https://www.reddit.com/r/autism/comments/1mvhqb2/does_any_know_any_good_routine_apps_that_are/</t>
  </si>
  <si>
    <t>i have relied on tiimo for a long time to actually get stuff done, and they have just removed the most helpful feature - creating routines, and telling you when the time is up for each activity in your routine. are there any similar apps any of you recommend? i've already been having problems with the app for the last year or so when they changed the design, but this has tipped it over the edge, it's basically unusable to me now. i need an app that is compatible with apple watch</t>
  </si>
  <si>
    <t>https://www.reddit.com/r/ADHD/comments/1ga9na3/apps_to_help_with_functioning/</t>
  </si>
  <si>
    <t>I used to use Tiimo mainly for the timed routine functionality. For example, I could create a routine and time each task so I knew exactly how long left I had to get dressed, shower etc. Now they got rid of routines and it’s thrown me off my mornings. Now I see I have 30 minutes to my morning routine, but I have no idea how much longer I have to spend on each task before I run out of time.</t>
  </si>
  <si>
    <t>https://www.reddit.com/r/ADHD/comments/1g9u8w1/apps_for_time_blindness_or_timed_routines/</t>
  </si>
  <si>
    <t>I'm essentially looking for what Tiimo used to have. They used to have "routines" which is essentially grouped tasks together that can be dropped into whatever time. I want to be able to plan my day hour by hour and I also want the functionality of routines. Please tell me this exists somewhere!</t>
  </si>
  <si>
    <t>https://www.reddit.com/r/ProductivityApps/comments/1jq1ki1/daily_planning_app_with_routines/</t>
  </si>
  <si>
    <t>Anyone have any recommendations? I LOVED tiimo so much when they had routines but they have removed that feature now and it’s been super deregulating to me :( I really need something that allows me to combine routines with time blocking and am struggling to find any good alternatives :((</t>
  </si>
  <si>
    <t>https://www.reddit.com/r/AutismInWomen/comments/1kwdwfi/routines_app_alternatives_to_tiimo/</t>
  </si>
  <si>
    <t>APP STORE US</t>
  </si>
  <si>
    <t>AS_US</t>
  </si>
  <si>
    <t>I dont know why but when I try to add a task it wont let me add it and if I exit the app sometimes it adds but a majority of the time it isntI just got this thinking it would be good but its been 30 minutes of me trying to add my daily tasks when I can write them out in 5 </t>
  </si>
  <si>
    <t>Calendar entries are not always showing in Tiimo after recent app update. I have had to import the same calendars every day. Not retaining calendar imports makes weekly planning difficult. App on iPhone kept closing after opening when I also had the app open on my iPad. Very buggy.</t>
  </si>
  <si>
    <t>Extremely frustrating and not what you want when you have ADHD. You try to enter tasks or information and it just cuts you off. So it takes 15 minutes to enter a task or not at all. Ive tried re loading the app, updating my phone, turning my phone off and on - nothing. Not to mention you have to pay 60 in one go, so now youre just stuck with all these issues. I should have read past reviews. Its apparent this has been happening for 3 years with other customers. Maybe schedule a time to fix these issues Timmo</t>
  </si>
  <si>
    <t>I do NOT recommend. I got charged when I bought a free trial. And its the first time apple denied a refund and Tiimo has definitely denied it. Not worth the risk. developer writing to me- saying things that arent true- I never bought this app previously.</t>
  </si>
  <si>
    <t>I was reviewing the app, with a plan for monthly subscription if I liked it. Decided I didnt theres a timer running constantly, which makes me anxious. And some bugs with task rollover. But they had already charged me for a 1 year subscription, not 1 month, no pro-rated cancellation, no way of reaching customer support. Thats pretty hostile for a supposed ADHD friendly app. </t>
  </si>
  <si>
    <t>The calendar settings are a little clunky, so I find myself having to set events in my normal calendar and have it linked to Tiimo. App would be much better if the calendar settings were easier to use.</t>
  </si>
  <si>
    <t>I cant sign into the app with my google account so I cant use it on my phone .major issue . </t>
  </si>
  <si>
    <t>I signed up for the free trial and started adding in all my tasks, but after a few tasks had been added it kept taking me to the subscription page, even after Id already signed up for the free trial. So I signed up for a paid subscription which I knew I could still cancel, and it STILL kept taking me to the subscription page when I tried to add tasks. I have now cancelled my subscription and am disappointed this app wouldnt work for me. </t>
  </si>
  <si>
    <t>Im feeling so frustrated by tiiimo, it was meant to be a free app unless you wanted to pay, but I was charged for a whole year. And now when I see the app on my phone Im annoyed and dont even want to use it!! The time function is also really annoying, like no one has time or patience to scroll to find the time you want the thing to start on, just let us type it it just takes TOO long to set up the tasks. This needs to be way more efficient for adhd. We have like a 2 second window to get the info out honestly who is actually caring about if the task needs an emoji, its just a waste of time </t>
  </si>
  <si>
    <t>APP STORE AU</t>
  </si>
  <si>
    <t>AS_AU</t>
  </si>
  <si>
    <t>This app is unusable without subscription </t>
  </si>
  <si>
    <t>For a paid app, this is so disappointing. The features are ok but the issue is lack of customisable layout. The default layouts seem so inconvenient, especially the daily list rather than a weekly or monthly view which you have to use a browser for. For anything beyond a day planner which this is useless. </t>
  </si>
  <si>
    <t>I used to really love this app and find it extremely helpful with my autism especially when i could colour code everything myself.. but now all the things that made me love the app you have to pay for, disabled people tend to be less fortunate snd have less money as it is so i think its pretty unfair to say your app is for people with autism and adhd and then put sll the helpful features behind a pay wall!!!!! Im extremely disappointed </t>
  </si>
  <si>
    <t>Over complicates things that should be simple, too many details needed to enter every task so I didn’t stick with it </t>
  </si>
  <si>
    <t>I'm sorry but this To Do App seems very complicated and tricky to set up and control. There are numerous options too many of which seem in conflict with others and the supposedly helpful cartoons run too fast to actually see what needs to be done stage by stage </t>
  </si>
  <si>
    <t>I’ve used this app for nearly 4 years now. I really liked the routines feature, my school had a really odd timetable format and Tiimo could accommodate that. When they got rid of the routines feature earlier this year, I was bummed. It was almost the only thing that set this app apart from the others and I know it is missed by many users.</t>
  </si>
  <si>
    <t> downloaded this app as it was advertised as a great routine organiser setting it apart from others I subscribed annually and cancelled my other subscription only to find that the routine function had disappeared its main selling point advertised by many creators. Why take away the basis of a helpful app. It no longer allowing for routines means still getting stuck on tasks and now moving on or only brushing my teeth for 30 seconds because the timer is gone</t>
  </si>
  <si>
    <t>The in app purchases = you cant use the app past a 7 day free trial without paying yearly fees! But by the time you discover this they have con’d your email address out of you! If you are happy with paying £30+ a year carry on and try it out, if like most people that more than you can justify in this financial climate keep you cash and don’t bother. Frankly I’m really disappointed and appalled at how this is a sneak attack.</t>
  </si>
  <si>
    <t>APP STORE UK</t>
  </si>
  <si>
    <t>AS_UK</t>
  </si>
  <si>
    <t>Even with a couple of bugs that messed up my routine. But after they removed routines and only left 'plans' / focus, without warning and against the wishes of many users, it became useless to me. If you want a reminders app that allows you a slightly longer list and a timed start, then sure, this works. (But watch out for the notifications not working properly.) </t>
  </si>
  <si>
    <t>I’ve used this app for years and am so sad to see it destroyed. I held on after the removal of routines in the hope it would be replaced by something better, but that never came and now they’ve also removed the ability to batch move your tasks to a different day. How does it make sense in an app marketed towards autistic people to remove routines, and to ADHD people to remove the ability to move a bunch of missed tasks at once?</t>
  </si>
  <si>
    <t>It’s really frustrating that there is only an option to repeat a task and no function to either copy tasks over to random days or to make task templates that can be dropped into any day and edited. Seems a really long winded way of building routines, especially for an app aimed at supporting neurodiversity. </t>
  </si>
  <si>
    <t>I used this app for years and loved it so much. I realised I stopped using it for a year when the routine function was taken away. The ability to have a whole routine that can be added on to your calendar was so good. You could set each sub task in the routine to have its own time frame and the visual timer would show how long you had left of that task before the next one would start, it was brilliant.</t>
  </si>
  <si>
    <t>Since the update this app no longer does what I paid for I have contacted Tiimo directly but it makes no difference, before update this app worked perfectly with my iPhone calendar now it won’t, I’ve been told numerous times the unlink function would be reinstated but still no sign as an ADHD app this no longer works and don’t think you care</t>
  </si>
  <si>
    <t>There is no customer support, no phone number, the “chat” function is unmanned and they don’t respond to emails. Highly frustrating. The app has good potential but is full of bugs that don’t get resolved.</t>
  </si>
  <si>
    <t>Can’t count the number of times the app breaks. Won’t display all calendars from google calendar. Won’t sync to desk top. No way to duplicate tasks on phone app. Adding task in recent update isn’t working. Until these simple things are fixed it causes more stress than it fixes. Shame because it’s the only scheduling app I like the aesthetics of </t>
  </si>
  <si>
    <t>Can’t receive practical notifications without receiving unwanted “check in” and other attention-based notifications. To-do list just disappeared. Want my money back. </t>
  </si>
  <si>
    <t>To-do list just disappeared. Want my money back.</t>
  </si>
  <si>
    <t>I signed up for the 7-day trial but was charged £25 the same day. I cancelled my subscription, also the same day, when I realised Tiimo couldn’t work with my calendar. I asked for a refund and Tiimo declined saying I’d signed up for a special offer. So, £25 down and nothing to show. The app is very confusing and distracting. I would recommend Motion instead, which is a much more useful tool.</t>
  </si>
  <si>
    <t>I am extremely interested by this app, but I don’t want to sign up (yes, even for a free trial which I then have to remember to cancel (hello?! ADHD!!)) without at least being able to fiddle around with some aspects of the app. So my rating really isn’t for the app, but for the marketing of it.</t>
  </si>
  <si>
    <t>it’s giving me more work than it should be. I can’t delete the tasks on the planner and deleting/ re-downloading doesn’t solve the case. This app has helped me lots but these bugs and the time i have wasted to re-downloading every day is ridiculous.</t>
  </si>
  <si>
    <t>Issue</t>
  </si>
  <si>
    <t>Integrations</t>
  </si>
  <si>
    <t>UI</t>
  </si>
  <si>
    <t>Other</t>
  </si>
  <si>
    <t>Clutter</t>
  </si>
  <si>
    <t>Subscription</t>
  </si>
  <si>
    <t>AS_US_001</t>
  </si>
  <si>
    <t>AS_US_002</t>
  </si>
  <si>
    <t>AS_US_003</t>
  </si>
  <si>
    <t>AS_US_004</t>
  </si>
  <si>
    <t>AS_US_005</t>
  </si>
  <si>
    <t>AS_US_006</t>
  </si>
  <si>
    <t>AS_US_007</t>
  </si>
  <si>
    <t>AS_US_008</t>
  </si>
  <si>
    <t>AS_US_009</t>
  </si>
  <si>
    <t>AS_US_010</t>
  </si>
  <si>
    <t>AS_US_011</t>
  </si>
  <si>
    <t>AS_US_012</t>
  </si>
  <si>
    <t>AS_US_013</t>
  </si>
  <si>
    <t>AS_US_014</t>
  </si>
  <si>
    <t>AS_US_015</t>
  </si>
  <si>
    <t>AS_US_016</t>
  </si>
  <si>
    <t>AS_US_017</t>
  </si>
  <si>
    <t>AS_US_018</t>
  </si>
  <si>
    <t>AS_US_019</t>
  </si>
  <si>
    <t>AS_US_020</t>
  </si>
  <si>
    <t>AS_US_021</t>
  </si>
  <si>
    <t>AS_US_022</t>
  </si>
  <si>
    <t>AS_US_023</t>
  </si>
  <si>
    <t>AS_US_024</t>
  </si>
  <si>
    <t>AI</t>
  </si>
  <si>
    <t>AS_US_025</t>
  </si>
  <si>
    <t>AS_US_026</t>
  </si>
  <si>
    <t>AS_US_027</t>
  </si>
  <si>
    <t>AS_US_028</t>
  </si>
  <si>
    <t>AS_US_029</t>
  </si>
  <si>
    <t>AS_US_030</t>
  </si>
  <si>
    <t>AS_US_031</t>
  </si>
  <si>
    <t>AS_US_032</t>
  </si>
  <si>
    <t>AS_US_033</t>
  </si>
  <si>
    <t>AS_US_034</t>
  </si>
  <si>
    <t>AS_US_035</t>
  </si>
  <si>
    <t>BG_001</t>
  </si>
  <si>
    <t>BG_002</t>
  </si>
  <si>
    <t>RD_005</t>
  </si>
  <si>
    <t>RD_006</t>
  </si>
  <si>
    <t>RD_007</t>
  </si>
  <si>
    <t>Setup</t>
  </si>
  <si>
    <t>RD_008</t>
  </si>
  <si>
    <t>RD_009</t>
  </si>
  <si>
    <t>RD_010</t>
  </si>
  <si>
    <t>RD_011</t>
  </si>
  <si>
    <t>RD_012</t>
  </si>
  <si>
    <t>AS_AU_001</t>
  </si>
  <si>
    <t>AS_AU_002</t>
  </si>
  <si>
    <t>AS_AU_003</t>
  </si>
  <si>
    <t>AS_AU_004</t>
  </si>
  <si>
    <t>AS_AU_005</t>
  </si>
  <si>
    <t>AS_AU_006</t>
  </si>
  <si>
    <t>AS_AU_007</t>
  </si>
  <si>
    <t>AS_AU_008</t>
  </si>
  <si>
    <t>AS_AU_009</t>
  </si>
  <si>
    <t>AS_AU_010</t>
  </si>
  <si>
    <t>AS_UK_001</t>
  </si>
  <si>
    <t>AS_UK_002</t>
  </si>
  <si>
    <t>AS_UK_003</t>
  </si>
  <si>
    <t>AS_UK_004</t>
  </si>
  <si>
    <t>AS_UK_005</t>
  </si>
  <si>
    <t>AS_UK_006</t>
  </si>
  <si>
    <t>AS_UK_007</t>
  </si>
  <si>
    <t>AS_UK_008</t>
  </si>
  <si>
    <t>AS_UK_009</t>
  </si>
  <si>
    <t>AS_UK_010</t>
  </si>
  <si>
    <t>AS_UK_011</t>
  </si>
  <si>
    <t>AS_UK_012</t>
  </si>
  <si>
    <t>AS_UK_013</t>
  </si>
  <si>
    <t>AS_UK_014</t>
  </si>
  <si>
    <t>AS_UK_015</t>
  </si>
  <si>
    <t>AS_UK_016</t>
  </si>
  <si>
    <t>AS_UK_017</t>
  </si>
  <si>
    <t>AS_UK_018</t>
  </si>
  <si>
    <t>AS_UK_019</t>
  </si>
  <si>
    <t>AS_UK_020</t>
  </si>
  <si>
    <t>Issue_Type</t>
  </si>
  <si>
    <t>Routines</t>
  </si>
  <si>
    <t>Performance</t>
  </si>
  <si>
    <t>Feature_Request</t>
  </si>
  <si>
    <t>Google_Calendar</t>
  </si>
  <si>
    <t>High_Price</t>
  </si>
  <si>
    <t>Refund</t>
  </si>
  <si>
    <t>Apple_Watch</t>
  </si>
  <si>
    <t>Paywall</t>
  </si>
  <si>
    <t>Web_Desktop</t>
  </si>
  <si>
    <t>Crash</t>
  </si>
  <si>
    <t>Auto_Renew_Charge</t>
  </si>
  <si>
    <t>Calendar</t>
  </si>
  <si>
    <t>Bug</t>
  </si>
  <si>
    <t>RD_013</t>
  </si>
  <si>
    <t>The creators have thought of our uniqueness. They listen. They respond. But I wish they would bring back routines. It’s what made them unique from all the other scheduling apps. I could see you in my morning routine how much time I had on each task like brushing my teeth, getting ready, movement, making breakfast. Now it just says morning routine for two hours and doesn’t help me flow through each task. Wish they would bring it back.</t>
  </si>
  <si>
    <t>Honestly I loved this app, there were things I wished for (AI integration, drag and drop rescheduling) but for my day to day life it’s the only app that ever worked for me and kept me on track.. I’ve been trying to use it still since the loss of routines but even basic scheduling is such a mess now. The way it doesn’t keep scheduling the same day, requiring input of the day and time for every single task you schedule. It’s be come in useable and sadly this also is making my life very difficult. I’m off to try something else, hopefully they restore this to what was once the best visual schedule I’ve ever used .</t>
  </si>
  <si>
    <t>APP STORE NZ</t>
  </si>
  <si>
    <t>AS_NZ</t>
  </si>
  <si>
    <t>AS_NZ_001</t>
  </si>
  <si>
    <t>AS_NZ_002</t>
  </si>
  <si>
    <t>AS_NZ_003</t>
  </si>
  <si>
    <t>Have tried many things but so far unsuccessful in making it work between me and my three teens</t>
  </si>
  <si>
    <t>Probably great but pestered me to review three times in the first 5 minutes of using it.</t>
  </si>
  <si>
    <t>AS_NZ_004</t>
  </si>
  <si>
    <t xml:space="preserve">If you must try this app CANCEL YOUR SUBSCRIPTION AT THE MOMENT YOU START YOUR FREE TRIAL. TIIMO ARE UNLAWFULLY REFUSING REFUNDS ON ACCIDENTAL SUBSCRIPTIONS, ABUSING FEATURES OF THE VERY DISABILITIES THEY CLAIM TO SUPPORT FOR THEIR OWN PROFIT. </t>
  </si>
  <si>
    <t>Review_Date</t>
  </si>
  <si>
    <t>Uncategorized</t>
  </si>
  <si>
    <t>Widgets</t>
  </si>
  <si>
    <t>Timers</t>
  </si>
  <si>
    <t>AS_US_036</t>
  </si>
  <si>
    <t>Alerts</t>
  </si>
  <si>
    <t>RD_014</t>
  </si>
  <si>
    <t>Tasks</t>
  </si>
  <si>
    <t>AS_AU_011</t>
  </si>
  <si>
    <t>AS_AU_012</t>
  </si>
  <si>
    <t>AS_UK_021</t>
  </si>
  <si>
    <t>AS_UK_022</t>
  </si>
  <si>
    <t>Notifications</t>
  </si>
  <si>
    <t>AS_UK_023</t>
  </si>
  <si>
    <t>AS_UK_024</t>
  </si>
  <si>
    <t>AS_UK_025</t>
  </si>
  <si>
    <t>null</t>
  </si>
  <si>
    <t>Row Labels</t>
  </si>
  <si>
    <t>Grand Total</t>
  </si>
  <si>
    <t>Count of Issue</t>
  </si>
  <si>
    <t>Column Labels</t>
  </si>
  <si>
    <t>Role/Category</t>
  </si>
  <si>
    <t>Power-Interest Quadrant</t>
  </si>
  <si>
    <t>Core Customers</t>
  </si>
  <si>
    <t>Manage Closely</t>
  </si>
  <si>
    <t>Monitor</t>
  </si>
  <si>
    <t>Internal Delivery</t>
  </si>
  <si>
    <t>Product Managers</t>
  </si>
  <si>
    <t>Internal Strategy</t>
  </si>
  <si>
    <t>Support Team</t>
  </si>
  <si>
    <t>Internal Service</t>
  </si>
  <si>
    <t>Keep Informed</t>
  </si>
  <si>
    <t>Review Platforms</t>
  </si>
  <si>
    <t>External Regulator</t>
  </si>
  <si>
    <t>Keep Satisfied</t>
  </si>
  <si>
    <t>Development Team</t>
  </si>
  <si>
    <t>Stakeholder Name</t>
  </si>
  <si>
    <t>Apple App Store Team</t>
  </si>
  <si>
    <t>Engagement Strategy</t>
  </si>
  <si>
    <t>Elicitation Priority</t>
  </si>
  <si>
    <t>Phase 1</t>
  </si>
  <si>
    <t>Phase 2</t>
  </si>
  <si>
    <t>Compliance monitoring</t>
  </si>
  <si>
    <t>Phase 3</t>
  </si>
  <si>
    <t>External</t>
  </si>
  <si>
    <t>Market research only</t>
  </si>
  <si>
    <t>Development Lead</t>
  </si>
  <si>
    <t xml:space="preserve">Competitors </t>
  </si>
  <si>
    <t>Design Lead</t>
  </si>
  <si>
    <t>Customers</t>
  </si>
  <si>
    <t>Data Analytics Team</t>
  </si>
  <si>
    <t>Influencers</t>
  </si>
  <si>
    <t>External Community</t>
  </si>
  <si>
    <t>QA/ Testing Team</t>
  </si>
  <si>
    <t>Newsletters</t>
  </si>
  <si>
    <t>Weekly 1:1s, Joint prioritization workshops</t>
  </si>
  <si>
    <t>Monthly executive briefings, ROI validation reviews</t>
  </si>
  <si>
    <t>Bi-weekly complaint trend updates, Requirements feedback</t>
  </si>
  <si>
    <t>Technical Feasibility Workshops, Sprint planning, Backlog refinement meetings</t>
  </si>
  <si>
    <t xml:space="preserve">Technical Feasibility Workshops, Sprint Planning </t>
  </si>
  <si>
    <t>Monthly churn dashboard reviews, Metrics validation</t>
  </si>
  <si>
    <t>Weekly UX reviews, Routines wireframe walkthroughs</t>
  </si>
  <si>
    <t>Quarterly Content Reviews, Social Listening</t>
  </si>
  <si>
    <t>Elicitation Techniques</t>
  </si>
  <si>
    <t>Document Analysis (reviews)</t>
  </si>
  <si>
    <t>Presentation &amp; Decision Reviews</t>
  </si>
  <si>
    <t>Interviews &amp; Workshops</t>
  </si>
  <si>
    <t>Surveys &amp; Data Sharing</t>
  </si>
  <si>
    <t>Collaborative development sessions</t>
  </si>
  <si>
    <t>Collaborative sessions to design test plans</t>
  </si>
  <si>
    <t>Data workshops and reports</t>
  </si>
  <si>
    <t>Collaborative design sessions</t>
  </si>
  <si>
    <t>Requirements Gathering, Feedback Monitoring</t>
  </si>
  <si>
    <t>Market Analysis</t>
  </si>
  <si>
    <t>Social Analysis</t>
  </si>
  <si>
    <t>Chart Axis</t>
  </si>
  <si>
    <t xml:space="preserve">Power </t>
  </si>
  <si>
    <t xml:space="preserve">Interest </t>
  </si>
  <si>
    <t xml:space="preserve">Neurodivergent Users </t>
  </si>
  <si>
    <t xml:space="preserve">Regular Users </t>
  </si>
  <si>
    <t>Executive Management</t>
  </si>
  <si>
    <t xml:space="preserve">Design Team </t>
  </si>
  <si>
    <t>Total Count of Issue</t>
  </si>
  <si>
    <t>Total Percent of Issue</t>
  </si>
  <si>
    <t>Percent of Issue</t>
  </si>
  <si>
    <t>Total Percent of Churn issues</t>
  </si>
  <si>
    <t>Percent of Churn issues</t>
  </si>
  <si>
    <t>Weekly 1:1s, Technical feasibility workshops</t>
  </si>
  <si>
    <t>Collaborative technical roadmap sessions</t>
  </si>
  <si>
    <t>Weekly 1:1s, design discussion workshops</t>
  </si>
  <si>
    <t>Collaborative design roadmap sessions</t>
  </si>
  <si>
    <t>Composite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</si>
</sst>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2" x14ac:knownFonts="1">
    <font>
      <sz val="12"/>
      <color theme="1"/>
      <name val="Aptos Narrow"/>
      <family val="2"/>
      <scheme val="minor"/>
    </font>
    <font>
      <b/>
      <sz val="12"/>
      <color theme="1"/>
      <name val="Aptos Narrow"/>
      <family val="2"/>
      <scheme val="minor"/>
    </font>
    <font>
      <sz val="9"/>
      <color theme="1"/>
      <name val="Times New Roman"/>
      <family val="1"/>
    </font>
    <font>
      <sz val="9"/>
      <color rgb="FF1A1A1A"/>
      <name val="Times New Roman"/>
      <family val="1"/>
    </font>
    <font>
      <b/>
      <sz val="12"/>
      <color theme="1"/>
      <name val="Times New Roman"/>
      <family val="1"/>
    </font>
    <font>
      <sz val="9"/>
      <color rgb="FF271A2C"/>
      <name val="Times New Roman"/>
      <family val="1"/>
    </font>
    <font>
      <b/>
      <sz val="12"/>
      <color theme="1"/>
      <name val="Aptos Narrow"/>
      <scheme val="minor"/>
    </font>
    <font>
      <sz val="12"/>
      <color theme="1"/>
      <name val="Aptos Narrow"/>
      <scheme val="minor"/>
    </font>
    <font>
      <sz val="12"/>
      <color theme="1"/>
      <name val="Times New Roman"/>
      <family val="1"/>
    </font>
    <font>
      <sz val="8"/>
      <name val="Aptos Narrow"/>
      <family val="2"/>
      <scheme val="minor"/>
    </font>
    <font>
      <b/>
      <sz val="14"/>
      <color theme="1" tint="4.9989318521683403E-2"/>
      <name val="Times New Roman"/>
      <family val="1"/>
    </font>
    <font>
      <sz val="14"/>
      <color theme="1" tint="4.9989318521683403E-2"/>
      <name val="Times New Roman"/>
      <family val="1"/>
    </font>
  </fonts>
  <fills count="3">
    <fill>
      <patternFill patternType="none"/>
    </fill>
    <fill>
      <patternFill patternType="gray125"/>
    </fill>
    <fill>
      <patternFill patternType="solid">
        <fgColor rgb="FFD3CDFF"/>
        <bgColor indexed="64"/>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applyAlignment="1">
      <alignment wrapText="1"/>
    </xf>
    <xf numFmtId="0" fontId="3" fillId="0" borderId="0" xfId="0" applyFont="1" applyAlignment="1">
      <alignment wrapText="1"/>
    </xf>
    <xf numFmtId="0" fontId="2" fillId="0" borderId="0" xfId="0" applyFont="1"/>
    <xf numFmtId="0" fontId="5" fillId="0" borderId="0" xfId="0" applyFont="1" applyAlignment="1">
      <alignment wrapText="1"/>
    </xf>
    <xf numFmtId="0" fontId="4" fillId="2" borderId="0" xfId="0" applyFont="1" applyFill="1"/>
    <xf numFmtId="0" fontId="4" fillId="2" borderId="0" xfId="0" applyFont="1" applyFill="1" applyAlignment="1">
      <alignment wrapText="1"/>
    </xf>
    <xf numFmtId="0" fontId="1" fillId="2" borderId="0" xfId="0" applyFont="1" applyFill="1"/>
    <xf numFmtId="0" fontId="6" fillId="0" borderId="0" xfId="0" applyFont="1"/>
    <xf numFmtId="164" fontId="4" fillId="2" borderId="0" xfId="0" applyNumberFormat="1" applyFont="1" applyFill="1"/>
    <xf numFmtId="164" fontId="2" fillId="0" borderId="0" xfId="0" applyNumberFormat="1" applyFont="1"/>
    <xf numFmtId="164" fontId="2" fillId="0" borderId="0" xfId="0" applyNumberFormat="1" applyFont="1" applyAlignment="1">
      <alignment horizontal="right"/>
    </xf>
    <xf numFmtId="0" fontId="7"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vertical="center"/>
    </xf>
    <xf numFmtId="0" fontId="8" fillId="0" borderId="0" xfId="0" applyFont="1" applyAlignment="1">
      <alignment wrapText="1"/>
    </xf>
    <xf numFmtId="0" fontId="0" fillId="0" borderId="0" xfId="0" applyAlignment="1">
      <alignment wrapText="1"/>
    </xf>
    <xf numFmtId="10" fontId="0" fillId="0" borderId="0" xfId="0" applyNumberFormat="1"/>
    <xf numFmtId="0" fontId="10" fillId="2" borderId="0" xfId="0" applyFont="1" applyFill="1" applyAlignment="1">
      <alignment vertical="center" wrapText="1"/>
    </xf>
    <xf numFmtId="0" fontId="11" fillId="2" borderId="0" xfId="0" applyFont="1" applyFill="1" applyAlignment="1">
      <alignment vertical="center"/>
    </xf>
  </cellXfs>
  <cellStyles count="1">
    <cellStyle name="Normal" xfId="0" builtinId="0"/>
  </cellStyles>
  <dxfs count="11">
    <dxf>
      <font>
        <b val="0"/>
        <i val="0"/>
        <strike val="0"/>
        <condense val="0"/>
        <extend val="0"/>
        <outline val="0"/>
        <shadow val="0"/>
        <u val="none"/>
        <vertAlign val="baseline"/>
        <sz val="12"/>
        <color theme="1"/>
        <name val="Times New Roman"/>
        <family val="1"/>
        <scheme val="none"/>
      </font>
      <alignment horizontal="general"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textRotation="0" wrapText="1" indent="0" justifyLastLine="0" shrinkToFit="0" readingOrder="0"/>
    </dxf>
    <dxf>
      <font>
        <b/>
        <i val="0"/>
        <strike val="0"/>
        <condense val="0"/>
        <extend val="0"/>
        <outline val="0"/>
        <shadow val="0"/>
        <u val="none"/>
        <vertAlign val="baseline"/>
        <sz val="14"/>
        <color theme="1" tint="4.9989318521683403E-2"/>
        <name val="Times New Roman"/>
        <family val="1"/>
        <scheme val="none"/>
      </font>
      <fill>
        <patternFill patternType="solid">
          <fgColor indexed="64"/>
          <bgColor rgb="FFD3CDFF"/>
        </patternFill>
      </fill>
      <alignment horizontal="general" vertical="center" textRotation="0" wrapText="1" indent="0" justifyLastLine="0" shrinkToFit="0" readingOrder="0"/>
    </dxf>
  </dxfs>
  <tableStyles count="0" defaultTableStyle="TableStyleMedium2" defaultPivotStyle="PivotStyleLight16"/>
  <colors>
    <mruColors>
      <color rgb="FF156082"/>
      <color rgb="FF25A940"/>
      <color rgb="FFD3CDFF"/>
      <color rgb="FFDDADFF"/>
      <color rgb="FF874A6F"/>
      <color rgb="FF4D4B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bg2">
                    <a:lumMod val="25000"/>
                  </a:schemeClr>
                </a:solidFill>
                <a:latin typeface="Times New Roman" panose="02020603050405020304" pitchFamily="18" charset="0"/>
                <a:cs typeface="Times New Roman" panose="02020603050405020304" pitchFamily="18" charset="0"/>
              </a:rPr>
              <a:t>Tiimo Churn</a:t>
            </a:r>
            <a:r>
              <a:rPr lang="en-US" sz="2400" b="1" baseline="0">
                <a:solidFill>
                  <a:schemeClr val="bg2">
                    <a:lumMod val="25000"/>
                  </a:schemeClr>
                </a:solidFill>
                <a:latin typeface="Times New Roman" panose="02020603050405020304" pitchFamily="18" charset="0"/>
                <a:cs typeface="Times New Roman" panose="02020603050405020304" pitchFamily="18" charset="0"/>
              </a:rPr>
              <a:t>: Power-Interest Prioritization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'Stakeholder Matrix'!$D$1</c:f>
              <c:strCache>
                <c:ptCount val="1"/>
                <c:pt idx="0">
                  <c:v>Interest </c:v>
                </c:pt>
              </c:strCache>
            </c:strRef>
          </c:tx>
          <c:spPr>
            <a:ln w="25400" cap="rnd">
              <a:noFill/>
              <a:round/>
            </a:ln>
            <a:effectLst/>
          </c:spPr>
          <c:marker>
            <c:symbol val="circle"/>
            <c:size val="10"/>
            <c:spPr>
              <a:solidFill>
                <a:schemeClr val="accent1"/>
              </a:solidFill>
              <a:ln w="9525">
                <a:solidFill>
                  <a:schemeClr val="accent1"/>
                </a:solidFill>
              </a:ln>
              <a:effectLst/>
            </c:spPr>
          </c:marker>
          <c:dPt>
            <c:idx val="0"/>
            <c:marker>
              <c:symbol val="square"/>
              <c:size val="10"/>
              <c:spPr>
                <a:solidFill>
                  <a:schemeClr val="accent1"/>
                </a:solidFill>
                <a:ln w="9525">
                  <a:solidFill>
                    <a:schemeClr val="accent1"/>
                  </a:solidFill>
                </a:ln>
                <a:effectLst/>
              </c:spPr>
            </c:marker>
            <c:bubble3D val="0"/>
            <c:extLst>
              <c:ext xmlns:c16="http://schemas.microsoft.com/office/drawing/2014/chart" uri="{C3380CC4-5D6E-409C-BE32-E72D297353CC}">
                <c16:uniqueId val="{00000003-C280-4B45-9113-C0F4A299B309}"/>
              </c:ext>
            </c:extLst>
          </c:dPt>
          <c:dPt>
            <c:idx val="1"/>
            <c:marker>
              <c:symbol val="square"/>
              <c:size val="10"/>
              <c:spPr>
                <a:solidFill>
                  <a:schemeClr val="accent1"/>
                </a:solidFill>
                <a:ln w="9525">
                  <a:solidFill>
                    <a:schemeClr val="accent1"/>
                  </a:solidFill>
                </a:ln>
                <a:effectLst/>
              </c:spPr>
            </c:marker>
            <c:bubble3D val="0"/>
            <c:extLst>
              <c:ext xmlns:c16="http://schemas.microsoft.com/office/drawing/2014/chart" uri="{C3380CC4-5D6E-409C-BE32-E72D297353CC}">
                <c16:uniqueId val="{00000004-C280-4B45-9113-C0F4A299B309}"/>
              </c:ext>
            </c:extLst>
          </c:dPt>
          <c:dPt>
            <c:idx val="2"/>
            <c:marker>
              <c:symbol val="circle"/>
              <c:size val="10"/>
              <c:spPr>
                <a:solidFill>
                  <a:srgbClr val="C00000"/>
                </a:solidFill>
                <a:ln w="9525">
                  <a:solidFill>
                    <a:srgbClr val="C00000"/>
                  </a:solidFill>
                </a:ln>
                <a:effectLst/>
              </c:spPr>
            </c:marker>
            <c:bubble3D val="0"/>
            <c:extLst>
              <c:ext xmlns:c16="http://schemas.microsoft.com/office/drawing/2014/chart" uri="{C3380CC4-5D6E-409C-BE32-E72D297353CC}">
                <c16:uniqueId val="{00000005-C280-4B45-9113-C0F4A299B309}"/>
              </c:ext>
            </c:extLst>
          </c:dPt>
          <c:dPt>
            <c:idx val="3"/>
            <c:marker>
              <c:symbol val="circle"/>
              <c:size val="10"/>
              <c:spPr>
                <a:solidFill>
                  <a:srgbClr val="C00000"/>
                </a:solidFill>
                <a:ln w="9525">
                  <a:solidFill>
                    <a:srgbClr val="C00000"/>
                  </a:solidFill>
                </a:ln>
                <a:effectLst/>
              </c:spPr>
            </c:marker>
            <c:bubble3D val="0"/>
            <c:extLst>
              <c:ext xmlns:c16="http://schemas.microsoft.com/office/drawing/2014/chart" uri="{C3380CC4-5D6E-409C-BE32-E72D297353CC}">
                <c16:uniqueId val="{00000006-C280-4B45-9113-C0F4A299B309}"/>
              </c:ext>
            </c:extLst>
          </c:dPt>
          <c:dPt>
            <c:idx val="4"/>
            <c:marker>
              <c:symbol val="circle"/>
              <c:size val="10"/>
              <c:spPr>
                <a:solidFill>
                  <a:srgbClr val="C00000"/>
                </a:solidFill>
                <a:ln w="9525">
                  <a:solidFill>
                    <a:srgbClr val="C00000"/>
                  </a:solidFill>
                </a:ln>
                <a:effectLst/>
              </c:spPr>
            </c:marker>
            <c:bubble3D val="0"/>
            <c:extLst>
              <c:ext xmlns:c16="http://schemas.microsoft.com/office/drawing/2014/chart" uri="{C3380CC4-5D6E-409C-BE32-E72D297353CC}">
                <c16:uniqueId val="{00000007-C280-4B45-9113-C0F4A299B309}"/>
              </c:ext>
            </c:extLst>
          </c:dPt>
          <c:dPt>
            <c:idx val="5"/>
            <c:marker>
              <c:symbol val="circle"/>
              <c:size val="10"/>
              <c:spPr>
                <a:solidFill>
                  <a:srgbClr val="C00000"/>
                </a:solidFill>
                <a:ln w="9525">
                  <a:solidFill>
                    <a:srgbClr val="C00000"/>
                  </a:solidFill>
                </a:ln>
                <a:effectLst/>
              </c:spPr>
            </c:marker>
            <c:bubble3D val="0"/>
            <c:extLst>
              <c:ext xmlns:c16="http://schemas.microsoft.com/office/drawing/2014/chart" uri="{C3380CC4-5D6E-409C-BE32-E72D297353CC}">
                <c16:uniqueId val="{00000008-C280-4B45-9113-C0F4A299B309}"/>
              </c:ext>
            </c:extLst>
          </c:dPt>
          <c:dPt>
            <c:idx val="6"/>
            <c:marker>
              <c:symbol val="square"/>
              <c:size val="10"/>
              <c:spPr>
                <a:solidFill>
                  <a:schemeClr val="accent1"/>
                </a:solidFill>
                <a:ln w="9525">
                  <a:solidFill>
                    <a:schemeClr val="accent1"/>
                  </a:solidFill>
                </a:ln>
                <a:effectLst/>
              </c:spPr>
            </c:marker>
            <c:bubble3D val="0"/>
            <c:extLst>
              <c:ext xmlns:c16="http://schemas.microsoft.com/office/drawing/2014/chart" uri="{C3380CC4-5D6E-409C-BE32-E72D297353CC}">
                <c16:uniqueId val="{00000009-C280-4B45-9113-C0F4A299B309}"/>
              </c:ext>
            </c:extLst>
          </c:dPt>
          <c:dPt>
            <c:idx val="7"/>
            <c:marker>
              <c:symbol val="circle"/>
              <c:size val="10"/>
              <c:spPr>
                <a:solidFill>
                  <a:srgbClr val="C00000"/>
                </a:solidFill>
                <a:ln w="9525">
                  <a:solidFill>
                    <a:schemeClr val="accent1"/>
                  </a:solidFill>
                </a:ln>
                <a:effectLst/>
              </c:spPr>
            </c:marker>
            <c:bubble3D val="0"/>
            <c:extLst>
              <c:ext xmlns:c16="http://schemas.microsoft.com/office/drawing/2014/chart" uri="{C3380CC4-5D6E-409C-BE32-E72D297353CC}">
                <c16:uniqueId val="{0000000A-C280-4B45-9113-C0F4A299B309}"/>
              </c:ext>
            </c:extLst>
          </c:dPt>
          <c:dPt>
            <c:idx val="8"/>
            <c:marker>
              <c:symbol val="circle"/>
              <c:size val="10"/>
              <c:spPr>
                <a:solidFill>
                  <a:srgbClr val="C00000"/>
                </a:solidFill>
                <a:ln w="9525">
                  <a:solidFill>
                    <a:srgbClr val="C00000"/>
                  </a:solidFill>
                </a:ln>
                <a:effectLst/>
              </c:spPr>
            </c:marker>
            <c:bubble3D val="0"/>
            <c:extLst>
              <c:ext xmlns:c16="http://schemas.microsoft.com/office/drawing/2014/chart" uri="{C3380CC4-5D6E-409C-BE32-E72D297353CC}">
                <c16:uniqueId val="{0000000B-C280-4B45-9113-C0F4A299B309}"/>
              </c:ext>
            </c:extLst>
          </c:dPt>
          <c:dPt>
            <c:idx val="9"/>
            <c:marker>
              <c:symbol val="square"/>
              <c:size val="10"/>
              <c:spPr>
                <a:solidFill>
                  <a:schemeClr val="accent1"/>
                </a:solidFill>
                <a:ln w="9525">
                  <a:solidFill>
                    <a:srgbClr val="156082"/>
                  </a:solidFill>
                </a:ln>
                <a:effectLst/>
              </c:spPr>
            </c:marker>
            <c:bubble3D val="0"/>
            <c:extLst>
              <c:ext xmlns:c16="http://schemas.microsoft.com/office/drawing/2014/chart" uri="{C3380CC4-5D6E-409C-BE32-E72D297353CC}">
                <c16:uniqueId val="{0000000C-C280-4B45-9113-C0F4A299B309}"/>
              </c:ext>
            </c:extLst>
          </c:dPt>
          <c:dPt>
            <c:idx val="10"/>
            <c:marker>
              <c:symbol val="circle"/>
              <c:size val="10"/>
              <c:spPr>
                <a:solidFill>
                  <a:srgbClr val="C00000"/>
                </a:solidFill>
                <a:ln w="9525">
                  <a:solidFill>
                    <a:srgbClr val="C00000"/>
                  </a:solidFill>
                </a:ln>
                <a:effectLst/>
              </c:spPr>
            </c:marker>
            <c:bubble3D val="0"/>
            <c:extLst>
              <c:ext xmlns:c16="http://schemas.microsoft.com/office/drawing/2014/chart" uri="{C3380CC4-5D6E-409C-BE32-E72D297353CC}">
                <c16:uniqueId val="{0000000D-C280-4B45-9113-C0F4A299B309}"/>
              </c:ext>
            </c:extLst>
          </c:dPt>
          <c:dPt>
            <c:idx val="11"/>
            <c:marker>
              <c:symbol val="diamond"/>
              <c:size val="10"/>
              <c:spPr>
                <a:solidFill>
                  <a:schemeClr val="accent5">
                    <a:lumMod val="60000"/>
                    <a:lumOff val="40000"/>
                  </a:schemeClr>
                </a:solidFill>
                <a:ln w="9525">
                  <a:solidFill>
                    <a:schemeClr val="accent5">
                      <a:lumMod val="60000"/>
                      <a:lumOff val="40000"/>
                    </a:schemeClr>
                  </a:solidFill>
                </a:ln>
                <a:effectLst/>
              </c:spPr>
            </c:marker>
            <c:bubble3D val="0"/>
            <c:extLst>
              <c:ext xmlns:c16="http://schemas.microsoft.com/office/drawing/2014/chart" uri="{C3380CC4-5D6E-409C-BE32-E72D297353CC}">
                <c16:uniqueId val="{0000000E-C280-4B45-9113-C0F4A299B309}"/>
              </c:ext>
            </c:extLst>
          </c:dPt>
          <c:dPt>
            <c:idx val="12"/>
            <c:marker>
              <c:symbol val="triangle"/>
              <c:size val="10"/>
              <c:spPr>
                <a:solidFill>
                  <a:srgbClr val="25A940"/>
                </a:solidFill>
                <a:ln w="9525">
                  <a:solidFill>
                    <a:srgbClr val="25A940"/>
                  </a:solidFill>
                </a:ln>
                <a:effectLst/>
              </c:spPr>
            </c:marker>
            <c:bubble3D val="0"/>
            <c:extLst>
              <c:ext xmlns:c16="http://schemas.microsoft.com/office/drawing/2014/chart" uri="{C3380CC4-5D6E-409C-BE32-E72D297353CC}">
                <c16:uniqueId val="{0000000F-C280-4B45-9113-C0F4A299B309}"/>
              </c:ext>
            </c:extLst>
          </c:dPt>
          <c:dPt>
            <c:idx val="13"/>
            <c:marker>
              <c:symbol val="triangle"/>
              <c:size val="10"/>
              <c:spPr>
                <a:solidFill>
                  <a:srgbClr val="25A940"/>
                </a:solidFill>
                <a:ln w="9525">
                  <a:solidFill>
                    <a:srgbClr val="25A940"/>
                  </a:solidFill>
                </a:ln>
                <a:effectLst/>
              </c:spPr>
            </c:marker>
            <c:bubble3D val="0"/>
            <c:extLst>
              <c:ext xmlns:c16="http://schemas.microsoft.com/office/drawing/2014/chart" uri="{C3380CC4-5D6E-409C-BE32-E72D297353CC}">
                <c16:uniqueId val="{00000010-C280-4B45-9113-C0F4A299B309}"/>
              </c:ext>
            </c:extLst>
          </c:dPt>
          <c:dPt>
            <c:idx val="14"/>
            <c:marker>
              <c:symbol val="square"/>
              <c:size val="10"/>
              <c:spPr>
                <a:solidFill>
                  <a:schemeClr val="accent1"/>
                </a:solidFill>
                <a:ln w="9525">
                  <a:solidFill>
                    <a:schemeClr val="accent1"/>
                  </a:solidFill>
                </a:ln>
                <a:effectLst/>
              </c:spPr>
            </c:marker>
            <c:bubble3D val="0"/>
            <c:extLst>
              <c:ext xmlns:c16="http://schemas.microsoft.com/office/drawing/2014/chart" uri="{C3380CC4-5D6E-409C-BE32-E72D297353CC}">
                <c16:uniqueId val="{00000012-C280-4B45-9113-C0F4A299B309}"/>
              </c:ext>
            </c:extLst>
          </c:dPt>
          <c:dLbls>
            <c:dLbl>
              <c:idx val="0"/>
              <c:tx>
                <c:rich>
                  <a:bodyPr/>
                  <a:lstStyle/>
                  <a:p>
                    <a:fld id="{A8AF72AF-E4DA-5F46-9551-D4C3096FA920}"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280-4B45-9113-C0F4A299B309}"/>
                </c:ext>
              </c:extLst>
            </c:dLbl>
            <c:dLbl>
              <c:idx val="1"/>
              <c:tx>
                <c:rich>
                  <a:bodyPr/>
                  <a:lstStyle/>
                  <a:p>
                    <a:fld id="{B7695B3F-ECAF-7A46-BE7F-6F0C46CFFFD2}"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280-4B45-9113-C0F4A299B309}"/>
                </c:ext>
              </c:extLst>
            </c:dLbl>
            <c:dLbl>
              <c:idx val="2"/>
              <c:tx>
                <c:rich>
                  <a:bodyPr/>
                  <a:lstStyle/>
                  <a:p>
                    <a:fld id="{C8551990-C717-FA45-8236-2637812E4CC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280-4B45-9113-C0F4A299B309}"/>
                </c:ext>
              </c:extLst>
            </c:dLbl>
            <c:dLbl>
              <c:idx val="3"/>
              <c:tx>
                <c:rich>
                  <a:bodyPr/>
                  <a:lstStyle/>
                  <a:p>
                    <a:fld id="{6D3FC719-ABF0-9142-9A56-61DD057634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280-4B45-9113-C0F4A299B309}"/>
                </c:ext>
              </c:extLst>
            </c:dLbl>
            <c:dLbl>
              <c:idx val="4"/>
              <c:tx>
                <c:rich>
                  <a:bodyPr/>
                  <a:lstStyle/>
                  <a:p>
                    <a:fld id="{326EA299-FDEF-CC49-854B-122EDCFCDE76}"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280-4B45-9113-C0F4A299B309}"/>
                </c:ext>
              </c:extLst>
            </c:dLbl>
            <c:dLbl>
              <c:idx val="5"/>
              <c:layout>
                <c:manualLayout>
                  <c:x val="-2.5031289111389237E-3"/>
                  <c:y val="7.1669902912621361E-2"/>
                </c:manualLayout>
              </c:layout>
              <c:tx>
                <c:rich>
                  <a:bodyPr/>
                  <a:lstStyle/>
                  <a:p>
                    <a:fld id="{D46463B7-B9AB-394F-945D-9AE08426BC3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280-4B45-9113-C0F4A299B309}"/>
                </c:ext>
              </c:extLst>
            </c:dLbl>
            <c:dLbl>
              <c:idx val="6"/>
              <c:tx>
                <c:rich>
                  <a:bodyPr/>
                  <a:lstStyle/>
                  <a:p>
                    <a:fld id="{0F40413E-509E-8946-BADB-75D777ED2627}"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280-4B45-9113-C0F4A299B309}"/>
                </c:ext>
              </c:extLst>
            </c:dLbl>
            <c:dLbl>
              <c:idx val="7"/>
              <c:tx>
                <c:rich>
                  <a:bodyPr/>
                  <a:lstStyle/>
                  <a:p>
                    <a:fld id="{F4EB7C00-5865-114D-B810-0CACC37D418F}"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280-4B45-9113-C0F4A299B309}"/>
                </c:ext>
              </c:extLst>
            </c:dLbl>
            <c:dLbl>
              <c:idx val="8"/>
              <c:tx>
                <c:rich>
                  <a:bodyPr/>
                  <a:lstStyle/>
                  <a:p>
                    <a:fld id="{100F21ED-FD92-904D-BF8E-6A5D567E782C}"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280-4B45-9113-C0F4A299B309}"/>
                </c:ext>
              </c:extLst>
            </c:dLbl>
            <c:dLbl>
              <c:idx val="9"/>
              <c:tx>
                <c:rich>
                  <a:bodyPr/>
                  <a:lstStyle/>
                  <a:p>
                    <a:fld id="{298C073C-7864-704E-9DBD-4FB94D2D680B}"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280-4B45-9113-C0F4A299B309}"/>
                </c:ext>
              </c:extLst>
            </c:dLbl>
            <c:dLbl>
              <c:idx val="10"/>
              <c:tx>
                <c:rich>
                  <a:bodyPr/>
                  <a:lstStyle/>
                  <a:p>
                    <a:fld id="{0C347F26-5F1B-3D45-BBE5-6A88023156F6}"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C280-4B45-9113-C0F4A299B309}"/>
                </c:ext>
              </c:extLst>
            </c:dLbl>
            <c:dLbl>
              <c:idx val="11"/>
              <c:tx>
                <c:rich>
                  <a:bodyPr/>
                  <a:lstStyle/>
                  <a:p>
                    <a:fld id="{8EFFFBBD-2448-1B4B-AA7E-A37C2F333B74}"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280-4B45-9113-C0F4A299B309}"/>
                </c:ext>
              </c:extLst>
            </c:dLbl>
            <c:dLbl>
              <c:idx val="12"/>
              <c:tx>
                <c:rich>
                  <a:bodyPr/>
                  <a:lstStyle/>
                  <a:p>
                    <a:fld id="{53AC5A3A-E625-C240-8B02-2A56E2DE2C8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280-4B45-9113-C0F4A299B309}"/>
                </c:ext>
              </c:extLst>
            </c:dLbl>
            <c:dLbl>
              <c:idx val="13"/>
              <c:tx>
                <c:rich>
                  <a:bodyPr/>
                  <a:lstStyle/>
                  <a:p>
                    <a:fld id="{B1BA402C-9A38-884F-BA14-E50A971BAA0E}"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280-4B45-9113-C0F4A299B309}"/>
                </c:ext>
              </c:extLst>
            </c:dLbl>
            <c:dLbl>
              <c:idx val="14"/>
              <c:tx>
                <c:rich>
                  <a:bodyPr/>
                  <a:lstStyle/>
                  <a:p>
                    <a:fld id="{7BF2E913-4A76-CD49-9222-DE7B4FC6F45D}"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280-4B45-9113-C0F4A299B30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'Stakeholder Matrix'!$D$2:$D$16</c:f>
              <c:numCache>
                <c:formatCode>General</c:formatCode>
                <c:ptCount val="15"/>
                <c:pt idx="0">
                  <c:v>9</c:v>
                </c:pt>
                <c:pt idx="1">
                  <c:v>9</c:v>
                </c:pt>
                <c:pt idx="2">
                  <c:v>10</c:v>
                </c:pt>
                <c:pt idx="3">
                  <c:v>10</c:v>
                </c:pt>
                <c:pt idx="4">
                  <c:v>10</c:v>
                </c:pt>
                <c:pt idx="5">
                  <c:v>10</c:v>
                </c:pt>
                <c:pt idx="6">
                  <c:v>6</c:v>
                </c:pt>
                <c:pt idx="7">
                  <c:v>9</c:v>
                </c:pt>
                <c:pt idx="8">
                  <c:v>9</c:v>
                </c:pt>
                <c:pt idx="9">
                  <c:v>6</c:v>
                </c:pt>
                <c:pt idx="10">
                  <c:v>9</c:v>
                </c:pt>
                <c:pt idx="11">
                  <c:v>2</c:v>
                </c:pt>
                <c:pt idx="12">
                  <c:v>3</c:v>
                </c:pt>
                <c:pt idx="13">
                  <c:v>1</c:v>
                </c:pt>
                <c:pt idx="14">
                  <c:v>7</c:v>
                </c:pt>
              </c:numCache>
            </c:numRef>
          </c:xVal>
          <c:yVal>
            <c:numRef>
              <c:f>'Stakeholder Matrix'!$C$2:$C$16</c:f>
              <c:numCache>
                <c:formatCode>General</c:formatCode>
                <c:ptCount val="15"/>
                <c:pt idx="0">
                  <c:v>3</c:v>
                </c:pt>
                <c:pt idx="1">
                  <c:v>2</c:v>
                </c:pt>
                <c:pt idx="2">
                  <c:v>9</c:v>
                </c:pt>
                <c:pt idx="3">
                  <c:v>10</c:v>
                </c:pt>
                <c:pt idx="4">
                  <c:v>8</c:v>
                </c:pt>
                <c:pt idx="5">
                  <c:v>8</c:v>
                </c:pt>
                <c:pt idx="6">
                  <c:v>4</c:v>
                </c:pt>
                <c:pt idx="7">
                  <c:v>7.5</c:v>
                </c:pt>
                <c:pt idx="8">
                  <c:v>7</c:v>
                </c:pt>
                <c:pt idx="9">
                  <c:v>5</c:v>
                </c:pt>
                <c:pt idx="10">
                  <c:v>8</c:v>
                </c:pt>
                <c:pt idx="11">
                  <c:v>8</c:v>
                </c:pt>
                <c:pt idx="12">
                  <c:v>3</c:v>
                </c:pt>
                <c:pt idx="13">
                  <c:v>2</c:v>
                </c:pt>
                <c:pt idx="14">
                  <c:v>2</c:v>
                </c:pt>
              </c:numCache>
            </c:numRef>
          </c:yVal>
          <c:smooth val="0"/>
          <c:extLst>
            <c:ext xmlns:c15="http://schemas.microsoft.com/office/drawing/2012/chart" uri="{02D57815-91ED-43cb-92C2-25804820EDAC}">
              <c15:datalabelsRange>
                <c15:f>'Stakeholder Matrix'!$A$2:$A$16</c15:f>
                <c15:dlblRangeCache>
                  <c:ptCount val="15"/>
                  <c:pt idx="0">
                    <c:v>Neurodivergent Users </c:v>
                  </c:pt>
                  <c:pt idx="1">
                    <c:v>Regular Users </c:v>
                  </c:pt>
                  <c:pt idx="2">
                    <c:v>Product Managers</c:v>
                  </c:pt>
                  <c:pt idx="3">
                    <c:v>Executive Management</c:v>
                  </c:pt>
                  <c:pt idx="4">
                    <c:v>Development Lead</c:v>
                  </c:pt>
                  <c:pt idx="5">
                    <c:v>Design Lead</c:v>
                  </c:pt>
                  <c:pt idx="6">
                    <c:v>Support Team</c:v>
                  </c:pt>
                  <c:pt idx="7">
                    <c:v>Development Team</c:v>
                  </c:pt>
                  <c:pt idx="8">
                    <c:v>QA/ Testing Team</c:v>
                  </c:pt>
                  <c:pt idx="9">
                    <c:v>Data Analytics Team</c:v>
                  </c:pt>
                  <c:pt idx="10">
                    <c:v>Design Team </c:v>
                  </c:pt>
                  <c:pt idx="11">
                    <c:v>Apple App Store Team</c:v>
                  </c:pt>
                  <c:pt idx="12">
                    <c:v>Competitors </c:v>
                  </c:pt>
                  <c:pt idx="13">
                    <c:v>Review Platforms</c:v>
                  </c:pt>
                  <c:pt idx="14">
                    <c:v>Influencers</c:v>
                  </c:pt>
                </c15:dlblRangeCache>
              </c15:datalabelsRange>
            </c:ext>
            <c:ext xmlns:c16="http://schemas.microsoft.com/office/drawing/2014/chart" uri="{C3380CC4-5D6E-409C-BE32-E72D297353CC}">
              <c16:uniqueId val="{00000000-C280-4B45-9113-C0F4A299B309}"/>
            </c:ext>
          </c:extLst>
        </c:ser>
        <c:ser>
          <c:idx val="1"/>
          <c:order val="1"/>
          <c:tx>
            <c:v>Chart Axis</c:v>
          </c:tx>
          <c:spPr>
            <a:ln w="25400" cap="rnd">
              <a:noFill/>
              <a:round/>
            </a:ln>
            <a:effectLst/>
          </c:spPr>
          <c:marker>
            <c:symbol val="circle"/>
            <c:size val="5"/>
            <c:spPr>
              <a:solidFill>
                <a:schemeClr val="accent2"/>
              </a:solidFill>
              <a:ln w="9525">
                <a:solidFill>
                  <a:schemeClr val="accent2"/>
                </a:solidFill>
              </a:ln>
              <a:effectLst/>
            </c:spPr>
          </c:marker>
          <c:errBars>
            <c:errDir val="x"/>
            <c:errBarType val="both"/>
            <c:errValType val="percentage"/>
            <c:noEndCap val="1"/>
            <c:val val="100"/>
            <c:spPr>
              <a:noFill/>
              <a:ln w="9525" cap="flat" cmpd="sng" algn="ctr">
                <a:solidFill>
                  <a:srgbClr val="FFC000"/>
                </a:solidFill>
                <a:round/>
                <a:tailEnd type="triangle"/>
              </a:ln>
              <a:effectLst/>
            </c:spPr>
          </c:errBars>
          <c:errBars>
            <c:errDir val="y"/>
            <c:errBarType val="both"/>
            <c:errValType val="percentage"/>
            <c:noEndCap val="1"/>
            <c:val val="100"/>
            <c:spPr>
              <a:noFill/>
              <a:ln w="9525" cap="flat" cmpd="sng" algn="ctr">
                <a:solidFill>
                  <a:srgbClr val="FFC000"/>
                </a:solidFill>
                <a:round/>
                <a:tailEnd type="triangle"/>
              </a:ln>
              <a:effectLst/>
            </c:spPr>
          </c:errBars>
          <c:xVal>
            <c:numRef>
              <c:f>'Stakeholder Matrix'!$B$19</c:f>
              <c:numCache>
                <c:formatCode>General</c:formatCode>
                <c:ptCount val="1"/>
                <c:pt idx="0">
                  <c:v>5</c:v>
                </c:pt>
              </c:numCache>
            </c:numRef>
          </c:xVal>
          <c:yVal>
            <c:numRef>
              <c:f>'Stakeholder Matrix'!$C$19</c:f>
              <c:numCache>
                <c:formatCode>General</c:formatCode>
                <c:ptCount val="1"/>
                <c:pt idx="0">
                  <c:v>5</c:v>
                </c:pt>
              </c:numCache>
            </c:numRef>
          </c:yVal>
          <c:smooth val="0"/>
          <c:extLst>
            <c:ext xmlns:c16="http://schemas.microsoft.com/office/drawing/2014/chart" uri="{C3380CC4-5D6E-409C-BE32-E72D297353CC}">
              <c16:uniqueId val="{00000002-C280-4B45-9113-C0F4A299B309}"/>
            </c:ext>
          </c:extLst>
        </c:ser>
        <c:dLbls>
          <c:showLegendKey val="0"/>
          <c:showVal val="0"/>
          <c:showCatName val="0"/>
          <c:showSerName val="0"/>
          <c:showPercent val="0"/>
          <c:showBubbleSize val="0"/>
        </c:dLbls>
        <c:axId val="1939272384"/>
        <c:axId val="2023991808"/>
      </c:scatterChart>
      <c:valAx>
        <c:axId val="1939272384"/>
        <c:scaling>
          <c:orientation val="minMax"/>
          <c:max val="10"/>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solidFill>
                      <a:schemeClr val="tx1">
                        <a:lumMod val="75000"/>
                        <a:lumOff val="25000"/>
                      </a:schemeClr>
                    </a:solidFill>
                    <a:latin typeface="Times New Roman" panose="02020603050405020304" pitchFamily="18" charset="0"/>
                    <a:cs typeface="Times New Roman" panose="02020603050405020304" pitchFamily="18" charset="0"/>
                  </a:rPr>
                  <a:t>Level of Interest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991808"/>
        <c:crosses val="autoZero"/>
        <c:crossBetween val="midCat"/>
      </c:valAx>
      <c:valAx>
        <c:axId val="2023991808"/>
        <c:scaling>
          <c:orientation val="minMax"/>
          <c:max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a:solidFill>
                      <a:schemeClr val="tx1">
                        <a:lumMod val="75000"/>
                        <a:lumOff val="25000"/>
                      </a:schemeClr>
                    </a:solidFill>
                    <a:latin typeface="Times New Roman" panose="02020603050405020304" pitchFamily="18" charset="0"/>
                    <a:cs typeface="Times New Roman" panose="02020603050405020304" pitchFamily="18" charset="0"/>
                  </a:rPr>
                  <a:t>Powe</a:t>
                </a:r>
                <a:r>
                  <a:rPr lang="en-US" sz="1600" baseline="0">
                    <a:solidFill>
                      <a:schemeClr val="tx1">
                        <a:lumMod val="75000"/>
                        <a:lumOff val="25000"/>
                      </a:schemeClr>
                    </a:solidFill>
                    <a:latin typeface="Times New Roman" panose="02020603050405020304" pitchFamily="18" charset="0"/>
                    <a:cs typeface="Times New Roman" panose="02020603050405020304" pitchFamily="18" charset="0"/>
                  </a:rPr>
                  <a:t>r / Influence</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272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609600</xdr:colOff>
      <xdr:row>4</xdr:row>
      <xdr:rowOff>50800</xdr:rowOff>
    </xdr:from>
    <xdr:to>
      <xdr:col>16</xdr:col>
      <xdr:colOff>25400</xdr:colOff>
      <xdr:row>36</xdr:row>
      <xdr:rowOff>88900</xdr:rowOff>
    </xdr:to>
    <xdr:graphicFrame macro="">
      <xdr:nvGraphicFramePr>
        <xdr:cNvPr id="3" name="Stakeholder Map">
          <a:extLst>
            <a:ext uri="{FF2B5EF4-FFF2-40B4-BE49-F238E27FC236}">
              <a16:creationId xmlns:a16="http://schemas.microsoft.com/office/drawing/2014/main" id="{E69DCD89-E99F-2EB6-500C-64CC25ED3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355600</xdr:colOff>
      <xdr:row>12</xdr:row>
      <xdr:rowOff>139700</xdr:rowOff>
    </xdr:from>
    <xdr:ext cx="184731" cy="264560"/>
    <xdr:sp macro="" textlink="">
      <xdr:nvSpPr>
        <xdr:cNvPr id="4" name="TextBox 3">
          <a:extLst>
            <a:ext uri="{FF2B5EF4-FFF2-40B4-BE49-F238E27FC236}">
              <a16:creationId xmlns:a16="http://schemas.microsoft.com/office/drawing/2014/main" id="{CF310F53-A410-9878-003B-1AA47AD6765D}"/>
            </a:ext>
          </a:extLst>
        </xdr:cNvPr>
        <xdr:cNvSpPr txBox="1"/>
      </xdr:nvSpPr>
      <xdr:spPr>
        <a:xfrm>
          <a:off x="10261600" y="257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419100</xdr:colOff>
      <xdr:row>34</xdr:row>
      <xdr:rowOff>101600</xdr:rowOff>
    </xdr:from>
    <xdr:to>
      <xdr:col>15</xdr:col>
      <xdr:colOff>749300</xdr:colOff>
      <xdr:row>35</xdr:row>
      <xdr:rowOff>152400</xdr:rowOff>
    </xdr:to>
    <xdr:sp macro="" textlink="">
      <xdr:nvSpPr>
        <xdr:cNvPr id="5" name="TextBox 4">
          <a:extLst>
            <a:ext uri="{FF2B5EF4-FFF2-40B4-BE49-F238E27FC236}">
              <a16:creationId xmlns:a16="http://schemas.microsoft.com/office/drawing/2014/main" id="{ADD77EBB-1E8E-C7ED-14BA-65EDF84786F1}"/>
            </a:ext>
          </a:extLst>
        </xdr:cNvPr>
        <xdr:cNvSpPr txBox="1"/>
      </xdr:nvSpPr>
      <xdr:spPr>
        <a:xfrm>
          <a:off x="11976100" y="7010400"/>
          <a:ext cx="11557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Keep</a:t>
          </a:r>
          <a:r>
            <a:rPr lang="en-US" sz="1100" b="1" baseline="0">
              <a:latin typeface="Times New Roman" panose="02020603050405020304" pitchFamily="18" charset="0"/>
              <a:cs typeface="Times New Roman" panose="02020603050405020304" pitchFamily="18" charset="0"/>
            </a:rPr>
            <a:t> Informed</a:t>
          </a: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14</xdr:col>
      <xdr:colOff>431800</xdr:colOff>
      <xdr:row>5</xdr:row>
      <xdr:rowOff>38100</xdr:rowOff>
    </xdr:from>
    <xdr:to>
      <xdr:col>15</xdr:col>
      <xdr:colOff>762000</xdr:colOff>
      <xdr:row>6</xdr:row>
      <xdr:rowOff>88900</xdr:rowOff>
    </xdr:to>
    <xdr:sp macro="" textlink="">
      <xdr:nvSpPr>
        <xdr:cNvPr id="6" name="TextBox 5">
          <a:extLst>
            <a:ext uri="{FF2B5EF4-FFF2-40B4-BE49-F238E27FC236}">
              <a16:creationId xmlns:a16="http://schemas.microsoft.com/office/drawing/2014/main" id="{59167106-8EF5-354C-8145-F1B542B0F10E}"/>
            </a:ext>
          </a:extLst>
        </xdr:cNvPr>
        <xdr:cNvSpPr txBox="1"/>
      </xdr:nvSpPr>
      <xdr:spPr>
        <a:xfrm>
          <a:off x="11988800" y="1054100"/>
          <a:ext cx="11557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Manage Closely</a:t>
          </a:r>
        </a:p>
      </xdr:txBody>
    </xdr:sp>
    <xdr:clientData/>
  </xdr:twoCellAnchor>
  <xdr:twoCellAnchor>
    <xdr:from>
      <xdr:col>4</xdr:col>
      <xdr:colOff>381000</xdr:colOff>
      <xdr:row>5</xdr:row>
      <xdr:rowOff>76200</xdr:rowOff>
    </xdr:from>
    <xdr:to>
      <xdr:col>5</xdr:col>
      <xdr:colOff>711200</xdr:colOff>
      <xdr:row>6</xdr:row>
      <xdr:rowOff>127000</xdr:rowOff>
    </xdr:to>
    <xdr:sp macro="" textlink="">
      <xdr:nvSpPr>
        <xdr:cNvPr id="7" name="TextBox 6">
          <a:extLst>
            <a:ext uri="{FF2B5EF4-FFF2-40B4-BE49-F238E27FC236}">
              <a16:creationId xmlns:a16="http://schemas.microsoft.com/office/drawing/2014/main" id="{E1D86DDB-0486-EA42-9398-60F70A41EDCE}"/>
            </a:ext>
          </a:extLst>
        </xdr:cNvPr>
        <xdr:cNvSpPr txBox="1"/>
      </xdr:nvSpPr>
      <xdr:spPr>
        <a:xfrm>
          <a:off x="3683000" y="1092200"/>
          <a:ext cx="11557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Keep</a:t>
          </a:r>
          <a:r>
            <a:rPr lang="en-US" sz="1100" b="1" baseline="0">
              <a:latin typeface="Times New Roman" panose="02020603050405020304" pitchFamily="18" charset="0"/>
              <a:cs typeface="Times New Roman" panose="02020603050405020304" pitchFamily="18" charset="0"/>
            </a:rPr>
            <a:t> Satisfied</a:t>
          </a:r>
        </a:p>
        <a:p>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4</xdr:col>
      <xdr:colOff>431800</xdr:colOff>
      <xdr:row>34</xdr:row>
      <xdr:rowOff>76200</xdr:rowOff>
    </xdr:from>
    <xdr:to>
      <xdr:col>5</xdr:col>
      <xdr:colOff>292100</xdr:colOff>
      <xdr:row>35</xdr:row>
      <xdr:rowOff>139700</xdr:rowOff>
    </xdr:to>
    <xdr:sp macro="" textlink="">
      <xdr:nvSpPr>
        <xdr:cNvPr id="8" name="TextBox 7">
          <a:extLst>
            <a:ext uri="{FF2B5EF4-FFF2-40B4-BE49-F238E27FC236}">
              <a16:creationId xmlns:a16="http://schemas.microsoft.com/office/drawing/2014/main" id="{174A4A02-C69D-2E48-AE61-D00963DC96AF}"/>
            </a:ext>
          </a:extLst>
        </xdr:cNvPr>
        <xdr:cNvSpPr txBox="1"/>
      </xdr:nvSpPr>
      <xdr:spPr>
        <a:xfrm>
          <a:off x="3733800" y="6985000"/>
          <a:ext cx="6858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Monitor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trangi Doshi" refreshedDate="46076.845953472221" createdVersion="8" refreshedVersion="8" minRefreshableVersion="3" recordCount="113" xr:uid="{B014D865-95A8-C043-94CD-47459CBD672A}">
  <cacheSource type="worksheet">
    <worksheetSource ref="A1:J114" sheet="VOC_Data"/>
  </cacheSource>
  <cacheFields count="10">
    <cacheField name="Review_Id" numFmtId="0">
      <sharedItems/>
    </cacheField>
    <cacheField name="Source" numFmtId="0">
      <sharedItems/>
    </cacheField>
    <cacheField name="Source_Code" numFmtId="0">
      <sharedItems/>
    </cacheField>
    <cacheField name="Review_Date" numFmtId="164">
      <sharedItems containsSemiMixedTypes="0" containsNonDate="0" containsDate="1" containsString="0" minDate="2025-01-01T00:00:00" maxDate="2026-01-24T00:00:00"/>
    </cacheField>
    <cacheField name="Rating" numFmtId="0">
      <sharedItems containsMixedTypes="1" containsNumber="1" containsInteger="1" minValue="1" maxValue="5"/>
    </cacheField>
    <cacheField name="Raw_Review_Text" numFmtId="0">
      <sharedItems longText="1"/>
    </cacheField>
    <cacheField name="Issue" numFmtId="0">
      <sharedItems count="9">
        <s v="Bug"/>
        <s v="Subscription"/>
        <s v="UI"/>
        <s v="Other"/>
        <s v="Performance"/>
        <s v="Feature_Request"/>
        <s v="Integrations"/>
        <s v="" u="1"/>
        <s v="Bug " u="1"/>
      </sharedItems>
    </cacheField>
    <cacheField name="Issue_Type" numFmtId="0">
      <sharedItems containsBlank="1" count="28">
        <s v="Tasks"/>
        <s v="Calendar"/>
        <s v="UI"/>
        <s v="Refund"/>
        <s v="Clutter"/>
        <s v="Uncategorized"/>
        <s v="Paywall"/>
        <s v="Setup"/>
        <s v="Crash"/>
        <s v="Routines"/>
        <s v="Auto_Renew_Charge"/>
        <s v="Notifications"/>
        <s v="Apple_Watch"/>
        <s v="Google_Calendar"/>
        <s v="Android"/>
        <s v="Alerts"/>
        <s v="Web_Desktop"/>
        <s v="High_Price"/>
        <s v="Widgets"/>
        <s v="AI"/>
        <s v="Timers"/>
        <m u="1"/>
        <s v="Paywall " u="1"/>
        <s v="High_Price " u="1"/>
        <s v="Refund + Bugs" u="1"/>
        <s v="Paywall + Routines" u="1"/>
        <s v="High_Price + Learning Curve" u="1"/>
        <s v="Paywall + UI" u="1"/>
      </sharedItems>
    </cacheField>
    <cacheField name="Churn_Signal" numFmtId="0">
      <sharedItems containsBlank="1" count="3">
        <s v="no"/>
        <s v="yes"/>
        <m u="1"/>
      </sharedItems>
    </cacheField>
    <cacheField name="UR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s v="AS_AU_001"/>
    <s v="APP STORE AU"/>
    <s v="AS_AU"/>
    <d v="2025-08-12T00:00:00"/>
    <n v="2"/>
    <s v="I dont know why but when I try to add a task it wont let me add it and if I exit the app sometimes it adds but a majority of the time it isntI just got this thinking it would be good but its been 30 minutes of me trying to add my daily tasks when I can write them out in 5 "/>
    <x v="0"/>
    <x v="0"/>
    <x v="0"/>
    <s v="null"/>
  </r>
  <r>
    <s v="AS_AU_002"/>
    <s v="APP STORE AU"/>
    <s v="AS_AU"/>
    <d v="2025-12-05T00:00:00"/>
    <n v="2"/>
    <s v="Calendar entries are not always showing in Tiimo after recent app update. I have had to import the same calendars every day. Not retaining calendar imports makes weekly planning difficult. App on iPhone kept closing after opening when I also had the app open on my iPad. Very buggy."/>
    <x v="0"/>
    <x v="1"/>
    <x v="0"/>
    <s v="null"/>
  </r>
  <r>
    <s v="AS_AU_003"/>
    <s v="APP STORE AU"/>
    <s v="AS_AU"/>
    <d v="2025-12-02T00:00:00"/>
    <n v="1"/>
    <s v="Extremely frustrating and not what you want when you have ADHD. You try to enter tasks or information and it just cuts you off. So it takes 15 minutes to enter a task or not at all. Ive tried re loading the app, updating my phone, turning my phone off and on - nothing. Not to mention you have to pay 60 in one go, so now youre just stuck with all these issues. I should have read past reviews. Its apparent this has been happening for 3 years with other customers. Maybe schedule a time to fix these issues Timmo"/>
    <x v="0"/>
    <x v="2"/>
    <x v="0"/>
    <s v="null"/>
  </r>
  <r>
    <s v="AS_AU_004"/>
    <s v="APP STORE AU"/>
    <s v="AS_AU"/>
    <d v="2025-10-23T00:00:00"/>
    <n v="1"/>
    <s v="I do NOT recommend. I got charged when I bought a free trial. And its the first time apple denied a refund and Tiimo has definitely denied it. Not worth the risk. developer writing to me- saying things that arent true- I never bought this app previously."/>
    <x v="1"/>
    <x v="3"/>
    <x v="1"/>
    <s v="null"/>
  </r>
  <r>
    <s v="AS_AU_005"/>
    <s v="APP STORE AU"/>
    <s v="AS_AU"/>
    <d v="2025-10-16T00:00:00"/>
    <n v="3"/>
    <s v="The calendar settings are a little clunky, so I find myself having to set events in my normal calendar and have it linked to Tiimo. App would be much better if the calendar settings were easier to use."/>
    <x v="2"/>
    <x v="4"/>
    <x v="0"/>
    <s v="null"/>
  </r>
  <r>
    <s v="AS_AU_006"/>
    <s v="APP STORE AU"/>
    <s v="AS_AU"/>
    <d v="2025-08-12T00:00:00"/>
    <n v="1"/>
    <s v="I cant sign into the app with my google account so I cant use it on my phone .major issue . "/>
    <x v="3"/>
    <x v="5"/>
    <x v="0"/>
    <s v="null"/>
  </r>
  <r>
    <s v="AS_AU_007"/>
    <s v="APP STORE AU"/>
    <s v="AS_AU"/>
    <d v="2025-07-07T00:00:00"/>
    <n v="1"/>
    <s v="I signed up for the free trial and started adding in all my tasks, but after a few tasks had been added it kept taking me to the subscription page, even after Id already signed up for the free trial. So I signed up for a paid subscription which I knew I could still cancel, and it STILL kept taking me to the subscription page when I tried to add tasks. I have now cancelled my subscription and am disappointed this app wouldnt work for me. "/>
    <x v="1"/>
    <x v="6"/>
    <x v="1"/>
    <s v="null"/>
  </r>
  <r>
    <s v="AS_AU_008"/>
    <s v="APP STORE AU"/>
    <s v="AS_AU"/>
    <d v="2025-05-26T00:00:00"/>
    <n v="1"/>
    <s v="Im feeling so frustrated by tiiimo, it was meant to be a free app unless you wanted to pay, but I was charged for a whole year. And now when I see the app on my phone Im annoyed and dont even want to use it!! The time function is also really annoying, like no one has time or patience to scroll to find the time you want the thing to start on, just let us type it it just takes TOO long to set up the tasks. This needs to be way more efficient for adhd. We have like a 2 second window to get the info out honestly who is actually caring about if the task needs an emoji, its just a waste of time "/>
    <x v="2"/>
    <x v="7"/>
    <x v="1"/>
    <s v="null"/>
  </r>
  <r>
    <s v="AS_AU_009"/>
    <s v="APP STORE AU"/>
    <s v="AS_AU"/>
    <d v="2025-12-11T00:00:00"/>
    <n v="2"/>
    <s v="This app is unusable without subscription "/>
    <x v="1"/>
    <x v="6"/>
    <x v="0"/>
    <s v="null"/>
  </r>
  <r>
    <s v="AS_AU_010"/>
    <s v="APP STORE AU"/>
    <s v="AS_AU"/>
    <d v="2025-12-05T00:00:00"/>
    <n v="2"/>
    <s v="Calendar entries are not always showing in Tiimo after recent app update. I have had to import the same calendars every day. Not retaining calendar imports makes weekly planning difficult. App on iPhone kept closing after opening when I also had the app open on my iPad. Very buggy."/>
    <x v="4"/>
    <x v="8"/>
    <x v="0"/>
    <s v="null"/>
  </r>
  <r>
    <s v="AS_AU_011"/>
    <s v="APP STORE AU"/>
    <s v="AS_AU"/>
    <d v="2025-10-17T00:00:00"/>
    <n v="1"/>
    <s v="I was reviewing the app, with a plan for monthly subscription if I liked it. Decided I didnt theres a timer running constantly, which makes me anxious. And some bugs with task rollover. But they had already charged me for a 1 year subscription, not 1 month, no pro-rated cancellation, no way of reaching customer support. Thats pretty hostile for a supposed ADHD friendly app. "/>
    <x v="0"/>
    <x v="0"/>
    <x v="1"/>
    <s v="null"/>
  </r>
  <r>
    <s v="AS_AU_012"/>
    <s v="APP STORE AU"/>
    <s v="AS_AU"/>
    <d v="2025-05-26T00:00:00"/>
    <n v="1"/>
    <s v="Im feeling so frustrated by tiiimo, it was meant to be a free app unless you wanted to pay, but I was charged for a whole year. And now when I see the app on my phone Im annoyed and dont even want to use it!! The time function is also really annoying, like no one has time or patience to scroll to find the time you want the thing to start on, just let us type it it just takes TOO long to set up the tasks. This needs to be way more efficient for adhd. We have like a 2 second window to get the info out honestly who is actually caring about if the task needs an emoji, its just a waste of time "/>
    <x v="1"/>
    <x v="6"/>
    <x v="1"/>
    <s v="null"/>
  </r>
  <r>
    <s v="AS_NZ_001"/>
    <s v="APP STORE NZ"/>
    <s v="AS_NZ"/>
    <d v="2025-09-09T00:00:00"/>
    <n v="5"/>
    <s v="The creators have thought of our uniqueness. They listen. They respond. But I wish they would bring back routines. It’s what made them unique from all the other scheduling apps. I could see you in my morning routine how much time I had on each task like brushing my teeth, getting ready, movement, making breakfast. Now it just says morning routine for two hours and doesn’t help me flow through each task. Wish they would bring it back."/>
    <x v="5"/>
    <x v="9"/>
    <x v="0"/>
    <s v="null"/>
  </r>
  <r>
    <s v="AS_NZ_002"/>
    <s v="APP STORE NZ"/>
    <s v="AS_NZ"/>
    <d v="2025-02-24T00:00:00"/>
    <n v="1"/>
    <s v="Honestly I loved this app, there were things I wished for (AI integration, drag and drop rescheduling) but for my day to day life it’s the only app that ever worked for me and kept me on track.. I’ve been trying to use it still since the loss of routines but even basic scheduling is such a mess now. The way it doesn’t keep scheduling the same day, requiring input of the day and time for every single task you schedule. It’s be come in useable and sadly this also is making my life very difficult. I’m off to try something else, hopefully they restore this to what was once the best visual schedule I’ve ever used ."/>
    <x v="5"/>
    <x v="9"/>
    <x v="1"/>
    <s v="null"/>
  </r>
  <r>
    <s v="AS_NZ_003"/>
    <s v="APP STORE NZ"/>
    <s v="AS_NZ"/>
    <d v="2026-01-04T00:00:00"/>
    <n v="1"/>
    <s v="Have tried many things but so far unsuccessful in making it work between me and my three teens"/>
    <x v="3"/>
    <x v="5"/>
    <x v="1"/>
    <s v="null"/>
  </r>
  <r>
    <s v="AS_NZ_004"/>
    <s v="APP STORE NZ"/>
    <s v="AS_NZ"/>
    <d v="2025-12-12T00:00:00"/>
    <n v="1"/>
    <s v="Probably great but pestered me to review three times in the first 5 minutes of using it."/>
    <x v="3"/>
    <x v="5"/>
    <x v="0"/>
    <s v="null"/>
  </r>
  <r>
    <s v="AS_UK_001"/>
    <s v="APP STORE UK"/>
    <s v="AS_UK"/>
    <d v="2026-01-18T00:00:00"/>
    <n v="1"/>
    <s v="For a paid app, this is so disappointing. The features are ok but the issue is lack of customisable layout. The default layouts seem so inconvenient, especially the daily list rather than a weekly or monthly view which you have to use a browser for. For anything beyond a day planner which this is useless. "/>
    <x v="2"/>
    <x v="5"/>
    <x v="0"/>
    <s v="null"/>
  </r>
  <r>
    <s v="AS_UK_002"/>
    <s v="APP STORE UK"/>
    <s v="AS_UK"/>
    <d v="2026-01-17T00:00:00"/>
    <n v="2"/>
    <s v="I used to really love this app and find it extremely helpful with my autism especially when i could colour code everything myself.. but now all the things that made me love the app you have to pay for, disabled people tend to be less fortunate snd have less money as it is so i think its pretty unfair to say your app is for people with autism and adhd and then put sll the helpful features behind a pay wall!!!!! Im extremely disappointed "/>
    <x v="1"/>
    <x v="6"/>
    <x v="0"/>
    <s v="null"/>
  </r>
  <r>
    <s v="AS_UK_003"/>
    <s v="APP STORE UK"/>
    <s v="AS_UK"/>
    <d v="2026-01-08T00:00:00"/>
    <n v="1"/>
    <s v="Over complicates things that should be simple, too many details needed to enter every task so I didn’t stick with it "/>
    <x v="2"/>
    <x v="4"/>
    <x v="1"/>
    <s v="null"/>
  </r>
  <r>
    <s v="AS_UK_004"/>
    <s v="APP STORE UK"/>
    <s v="AS_UK"/>
    <d v="2026-01-08T00:00:00"/>
    <n v="2"/>
    <s v="I'm sorry but this To Do App seems very complicated and tricky to set up and control. There are numerous options too many of which seem in conflict with others and the supposedly helpful cartoons run too fast to actually see what needs to be done stage by stage "/>
    <x v="2"/>
    <x v="7"/>
    <x v="0"/>
    <s v="null"/>
  </r>
  <r>
    <s v="AS_UK_005"/>
    <s v="APP STORE UK"/>
    <s v="AS_UK"/>
    <d v="2025-11-03T00:00:00"/>
    <n v="2"/>
    <s v="I’ve used this app for nearly 4 years now. I really liked the routines feature, my school had a really odd timetable format and Tiimo could accommodate that. When they got rid of the routines feature earlier this year, I was bummed. It was almost the only thing that set this app apart from the others and I know it is missed by many users."/>
    <x v="5"/>
    <x v="9"/>
    <x v="0"/>
    <s v="null"/>
  </r>
  <r>
    <s v="AS_UK_006"/>
    <s v="APP STORE UK"/>
    <s v="AS_UK"/>
    <d v="2025-05-01T00:00:00"/>
    <n v="1"/>
    <s v=" downloaded this app as it was advertised as a great routine organiser setting it apart from others I subscribed annually and cancelled my other subscription only to find that the routine function had disappeared its main selling point advertised by many creators. Why take away the basis of a helpful app. It no longer allowing for routines means still getting stuck on tasks and now moving on or only brushing my teeth for 30 seconds because the timer is gone"/>
    <x v="5"/>
    <x v="9"/>
    <x v="0"/>
    <s v="null"/>
  </r>
  <r>
    <s v="AS_UK_007"/>
    <s v="APP STORE UK"/>
    <s v="AS_UK"/>
    <d v="2025-05-21T00:00:00"/>
    <n v="1"/>
    <s v="The in app purchases = you cant use the app past a 7 day free trial without paying yearly fees! But by the time you discover this they have con’d your email address out of you! If you are happy with paying £30+ a year carry on and try it out, if like most people that more than you can justify in this financial climate keep you cash and don’t bother. Frankly I’m really disappointed and appalled at how this is a sneak attack."/>
    <x v="1"/>
    <x v="10"/>
    <x v="0"/>
    <s v="null"/>
  </r>
  <r>
    <s v="AS_UK_008"/>
    <s v="APP STORE UK"/>
    <s v="AS_UK"/>
    <d v="2025-04-18T00:00:00"/>
    <n v="2"/>
    <s v="Even with a couple of bugs that messed up my routine. But after they removed routines and only left 'plans' / focus, without warning and against the wishes of many users, it became useless to me. If you want a reminders app that allows you a slightly longer list and a timed start, then sure, this works. (But watch out for the notifications not working properly.) "/>
    <x v="5"/>
    <x v="9"/>
    <x v="1"/>
    <s v="null"/>
  </r>
  <r>
    <s v="AS_UK_009"/>
    <s v="APP STORE UK"/>
    <s v="AS_UK"/>
    <d v="2025-03-22T00:00:00"/>
    <n v="1"/>
    <s v="I’ve used this app for years and am so sad to see it destroyed. I held on after the removal of routines in the hope it would be replaced by something better, but that never came and now they’ve also removed the ability to batch move your tasks to a different day. How does it make sense in an app marketed towards autistic people to remove routines, and to ADHD people to remove the ability to move a bunch of missed tasks at once?"/>
    <x v="5"/>
    <x v="9"/>
    <x v="0"/>
    <s v="null"/>
  </r>
  <r>
    <s v="AS_UK_010"/>
    <s v="APP STORE UK"/>
    <s v="AS_UK"/>
    <d v="2025-03-22T00:00:00"/>
    <n v="1"/>
    <s v="If you must try this app CANCEL YOUR SUBSCRIPTION AT THE MOMENT YOU START YOUR FREE TRIAL. TIIMO ARE UNLAWFULLY REFUSING REFUNDS ON ACCIDENTAL SUBSCRIPTIONS, ABUSING FEATURES OF THE VERY DISABILITIES THEY CLAIM TO SUPPORT FOR THEIR OWN PROFIT. "/>
    <x v="1"/>
    <x v="3"/>
    <x v="1"/>
    <s v="null"/>
  </r>
  <r>
    <s v="AS_UK_011"/>
    <s v="APP STORE UK"/>
    <s v="AS_UK"/>
    <d v="2025-03-22T00:00:00"/>
    <n v="1"/>
    <s v="It’s really frustrating that there is only an option to repeat a task and no function to either copy tasks over to random days or to make task templates that can be dropped into any day and edited. Seems a really long winded way of building routines, especially for an app aimed at supporting neurodiversity. "/>
    <x v="5"/>
    <x v="9"/>
    <x v="0"/>
    <s v="null"/>
  </r>
  <r>
    <s v="AS_UK_012"/>
    <s v="APP STORE UK"/>
    <s v="AS_UK"/>
    <d v="2025-03-11T00:00:00"/>
    <n v="3"/>
    <s v="I used this app for years and loved it so much. I realised I stopped using it for a year when the routine function was taken away. The ability to have a whole routine that can be added on to your calendar was so good. You could set each sub task in the routine to have its own time frame and the visual timer would show how long you had left of that task before the next one would start, it was brilliant."/>
    <x v="5"/>
    <x v="9"/>
    <x v="0"/>
    <s v="null"/>
  </r>
  <r>
    <s v="AS_UK_013"/>
    <s v="APP STORE UK"/>
    <s v="AS_UK"/>
    <d v="2025-01-08T00:00:00"/>
    <n v="1"/>
    <s v="Since the update this app no longer does what I paid for I have contacted Tiimo directly but it makes no difference, before update this app worked perfectly with my iPhone calendar now it won’t, I’ve been told numerous times the unlink function would be reinstated but still no sign as an ADHD app this no longer works and don’t think you care"/>
    <x v="0"/>
    <x v="2"/>
    <x v="0"/>
    <s v="null"/>
  </r>
  <r>
    <s v="AS_UK_014"/>
    <s v="APP STORE UK"/>
    <s v="AS_UK"/>
    <d v="2025-10-25T00:00:00"/>
    <n v="1"/>
    <s v="There is no customer support, no phone number, the “chat” function is unmanned and they don’t respond to emails. Highly frustrating. The app has good potential but is full of bugs that don’t get resolved."/>
    <x v="0"/>
    <x v="2"/>
    <x v="0"/>
    <s v="null"/>
  </r>
  <r>
    <s v="AS_UK_015"/>
    <s v="APP STORE UK"/>
    <s v="AS_UK"/>
    <d v="2025-10-19T00:00:00"/>
    <n v="2"/>
    <s v="Can’t count the number of times the app breaks. Won’t display all calendars from google calendar. Won’t sync to desk top. No way to duplicate tasks on phone app. Adding task in recent update isn’t working. Until these simple things are fixed it causes more stress than it fixes. Shame because it’s the only scheduling app I like the aesthetics of "/>
    <x v="4"/>
    <x v="8"/>
    <x v="1"/>
    <s v="null"/>
  </r>
  <r>
    <s v="AS_UK_016"/>
    <s v="APP STORE UK"/>
    <s v="AS_UK"/>
    <d v="2025-10-16T00:00:00"/>
    <n v="1"/>
    <s v="Can’t receive practical notifications without receiving unwanted “check in” and other attention-based notifications. To-do list just disappeared. Want my money back. "/>
    <x v="2"/>
    <x v="5"/>
    <x v="1"/>
    <s v="null"/>
  </r>
  <r>
    <s v="AS_UK_017"/>
    <s v="APP STORE UK"/>
    <s v="AS_UK"/>
    <d v="2025-10-14T00:00:00"/>
    <n v="1"/>
    <s v="To-do list just disappeared. Want my money back."/>
    <x v="2"/>
    <x v="5"/>
    <x v="1"/>
    <s v="null"/>
  </r>
  <r>
    <s v="AS_UK_018"/>
    <s v="APP STORE UK"/>
    <s v="AS_UK"/>
    <d v="2025-09-26T00:00:00"/>
    <n v="1"/>
    <s v="I signed up for the 7-day trial but was charged £25 the same day. I cancelled my subscription, also the same day, when I realised Tiimo couldn’t work with my calendar. I asked for a refund and Tiimo declined saying I’d signed up for a special offer. So, £25 down and nothing to show. The app is very confusing and distracting. I would recommend Motion instead, which is a much more useful tool."/>
    <x v="1"/>
    <x v="6"/>
    <x v="1"/>
    <s v="null"/>
  </r>
  <r>
    <s v="AS_UK_019"/>
    <s v="APP STORE UK"/>
    <s v="AS_UK"/>
    <d v="2025-07-19T00:00:00"/>
    <n v="2"/>
    <s v="I am extremely interested by this app, but I don’t want to sign up (yes, even for a free trial which I then have to remember to cancel (hello?! ADHD!!)) without at least being able to fiddle around with some aspects of the app. So my rating really isn’t for the app, but for the marketing of it."/>
    <x v="1"/>
    <x v="6"/>
    <x v="1"/>
    <s v="null"/>
  </r>
  <r>
    <s v="AS_UK_020"/>
    <s v="APP STORE UK"/>
    <s v="AS_UK"/>
    <d v="2025-05-28T00:00:00"/>
    <n v="2"/>
    <s v="it’s giving me more work than it should be. I can’t delete the tasks on the planner and deleting/ re-downloading doesn’t solve the case. This app has helped me lots but these bugs and the time i have wasted to re-downloading every day is ridiculous."/>
    <x v="0"/>
    <x v="5"/>
    <x v="1"/>
    <s v="null"/>
  </r>
  <r>
    <s v="AS_UK_021"/>
    <s v="APP STORE UK"/>
    <s v="AS_UK"/>
    <d v="2026-01-08T00:00:00"/>
    <n v="2"/>
    <s v="I'm sorry but this To Do App seems very complicated and tricky to set up and control. There are numerous options too many of which seem in conflict with others and the supposedly helpful cartoons run too fast to actually see what needs to be done stage by stage "/>
    <x v="2"/>
    <x v="4"/>
    <x v="0"/>
    <s v="null"/>
  </r>
  <r>
    <s v="AS_UK_022"/>
    <s v="APP STORE UK"/>
    <s v="AS_UK"/>
    <d v="2025-04-18T00:00:00"/>
    <n v="2"/>
    <s v="Even with a couple of bugs that messed up my routine. But after they removed routines and only left 'plans' / focus, without warning and against the wishes of many users, it became useless to me. If you want a reminders app that allows you a slightly longer list and a timed start, then sure, this works. (But watch out for the notifications not working properly.) "/>
    <x v="0"/>
    <x v="11"/>
    <x v="1"/>
    <s v="null"/>
  </r>
  <r>
    <s v="AS_UK_023"/>
    <s v="APP STORE UK"/>
    <s v="AS_UK"/>
    <d v="2025-01-08T00:00:00"/>
    <n v="1"/>
    <s v="Since the update this app no longer does what I paid for I have contacted Tiimo directly but it makes no difference, before update this app worked perfectly with my iPhone calendar now it won’t, I’ve been told numerous times the unlink function would be reinstated but still no sign as an ADHD app this no longer works and don’t think you care"/>
    <x v="0"/>
    <x v="1"/>
    <x v="0"/>
    <s v="null"/>
  </r>
  <r>
    <s v="AS_UK_024"/>
    <s v="APP STORE UK"/>
    <s v="AS_UK"/>
    <d v="2025-10-19T00:00:00"/>
    <n v="2"/>
    <s v="Can’t count the number of times the app breaks. Won’t display all calendars from google calendar. Won’t sync to desk top. No way to duplicate tasks on phone app. Adding task in recent update isn’t working. Until these simple things are fixed it causes more stress than it fixes. Shame because it’s the only scheduling app I like the aesthetics of "/>
    <x v="0"/>
    <x v="1"/>
    <x v="1"/>
    <s v="null"/>
  </r>
  <r>
    <s v="AS_UK_025"/>
    <s v="APP STORE UK"/>
    <s v="AS_UK"/>
    <d v="2025-10-19T00:00:00"/>
    <n v="2"/>
    <s v="Can’t count the number of times the app breaks. Won’t display all calendars from google calendar. Won’t sync to desk top. No way to duplicate tasks on phone app. Adding task in recent update isn’t working. Until these simple things are fixed it causes more stress than it fixes. Shame because it’s the only scheduling app I like the aesthetics of "/>
    <x v="0"/>
    <x v="5"/>
    <x v="1"/>
    <s v="null"/>
  </r>
  <r>
    <s v="AS_US_001"/>
    <s v="APP STORE US"/>
    <s v="AS_US"/>
    <d v="2026-01-15T00:00:00"/>
    <n v="1"/>
    <s v="I signed up for a 7 day trial and was hit with a fee for $54 for a year of service. I asked for a refund as I had not even opened the app the day I was notified of the charge. My request was denied. In their marketing, they state that they help people with ADHD. I was 1 day past the 7 day trial and they offer no forgiveness. Seems like they're hard up for cash. Do not sign up for service with these guys. I doubt they will be around in 2 years."/>
    <x v="1"/>
    <x v="3"/>
    <x v="1"/>
    <s v="null"/>
  </r>
  <r>
    <s v="AS_US_002"/>
    <s v="APP STORE US"/>
    <s v="AS_US"/>
    <d v="2026-01-05T00:00:00"/>
    <n v="1"/>
    <s v="The free trial offers make it sound easy to unsubscribe, but in fact it looks like it's impossible to unsubscribe - there's no unsubscribe/cancel option to click anywhere, and it says you have to remember what platform you signed up on more"/>
    <x v="1"/>
    <x v="5"/>
    <x v="0"/>
    <s v="null"/>
  </r>
  <r>
    <s v="AS_US_003"/>
    <s v="APP STORE US"/>
    <s v="AS_US"/>
    <d v="2025-09-10T00:00:00"/>
    <n v="3"/>
    <s v="The desktop version doesn't synchronize with the iphone so you have to choose which platform you will use it on. The apple watch view doesn't include calendar information. I've put in requests for information and bug fixes with no response. I do like how the app functions on my phone. It is nice to have calendar appointments and a place for tasks to be listed and prioritized to structure my day. One of the bugs is needed to import the calendar every time the app is opened"/>
    <x v="6"/>
    <x v="12"/>
    <x v="0"/>
    <s v="null"/>
  </r>
  <r>
    <s v="AS_US_004"/>
    <s v="APP STORE US"/>
    <s v="AS_US"/>
    <d v="2026-01-15T00:00:00"/>
    <n v="1"/>
    <s v="the app is missing so many basic features like why can't I see the entire calendar at once? why can't l access the routines or make time blocks that are visible?"/>
    <x v="0"/>
    <x v="1"/>
    <x v="0"/>
    <s v="null"/>
  </r>
  <r>
    <s v="AS_US_005"/>
    <s v="APP STORE US"/>
    <s v="AS_US"/>
    <d v="2026-01-08T00:00:00"/>
    <n v="1"/>
    <s v="Added app but could not try, or test drive, just had to sign up. It appears this adds tasks to your calendar, however after multiple tries it would not sync with my calendar. Do not download if you have ADHD, it just causes stress. "/>
    <x v="6"/>
    <x v="13"/>
    <x v="1"/>
    <s v="null"/>
  </r>
  <r>
    <s v="AS_US_006"/>
    <s v="APP STORE US"/>
    <s v="AS_US"/>
    <d v="2026-01-09T00:00:00"/>
    <n v="3"/>
    <s v="I love this for planning but the live activity that shows which item to focus on via the lock screen is invisible 90% of the time"/>
    <x v="3"/>
    <x v="5"/>
    <x v="0"/>
    <s v="null"/>
  </r>
  <r>
    <s v="AS_US_007"/>
    <s v="APP STORE US"/>
    <s v="AS_US"/>
    <d v="2026-01-06T00:00:00"/>
    <n v="3"/>
    <s v="I loved the idea of the app. My main goal was to synchronize with my watch to know what I should be focusing next. But it just doesn't synchronize properly. I have to constantly be updating it for it to find the next task "/>
    <x v="6"/>
    <x v="12"/>
    <x v="0"/>
    <s v="null"/>
  </r>
  <r>
    <s v="AS_US_008"/>
    <s v="APP STORE US"/>
    <s v="AS_US"/>
    <d v="2026-01-04T00:00:00"/>
    <n v="3"/>
    <s v="I had high hopes for this app, but after trying it out for a few days, I've discovered that there are odd bugs as surprises everywhere. For example, after setting up a time and task list, I went into create an emoji. When ! finished and went back to my task list it had changed completely in timing. It was no longer sorted morning day and evening for example. I tried to search an answer to why this happened and could find nothing. Also, for unknown reasons, the pinch to change calendar view does not work at all. The only thing I seem to be able to do is make a task, put in the details, and hope that it goes to the right place at the right time. After this initial experience, I would not pay for a pro version."/>
    <x v="0"/>
    <x v="5"/>
    <x v="1"/>
    <s v="null"/>
  </r>
  <r>
    <s v="AS_US_009"/>
    <s v="APP STORE US"/>
    <s v="AS_US"/>
    <d v="2026-01-03T00:00:00"/>
    <n v="2"/>
    <s v="I have had the app on my android phone for a while. It was buggy and not great so | left it be for a while seeing as you had commented on reviews y'all were working on updates. So when I see the app on my iPad I use for school, I wanted to give it another go. It has been a good experience so far so I tried to log in to the android app. Imagine my surprise that you just GOT RID OF IT??????"/>
    <x v="6"/>
    <x v="14"/>
    <x v="0"/>
    <s v="null"/>
  </r>
  <r>
    <s v="AS_US_010"/>
    <s v="APP STORE US"/>
    <s v="AS_US"/>
    <d v="2025-09-15T00:00:00"/>
    <n v="1"/>
    <s v="It was perfect for adhd and now it must be perfect for everyone else except adhd brain."/>
    <x v="3"/>
    <x v="5"/>
    <x v="0"/>
    <s v="null"/>
  </r>
  <r>
    <s v="AS_US_011"/>
    <s v="APP STORE US"/>
    <s v="AS_US"/>
    <d v="2025-09-19T00:00:00"/>
    <n v="1"/>
    <s v="The routines, the ability to set a duration of time and then set the end time and the app would automatically set the start time. THAT is precisely what my neurodivergent brain NEEDS and that is exactly what I paid for. But it was taken away I keep waiting for them to bring it back but instead they keep adding things that I don't need."/>
    <x v="5"/>
    <x v="9"/>
    <x v="0"/>
    <s v="null"/>
  </r>
  <r>
    <s v="AS_US_012"/>
    <s v="APP STORE US"/>
    <s v="AS_US"/>
    <d v="2025-08-03T00:00:00"/>
    <n v="2"/>
    <s v="The best app I've ever used in my entire life until they took away routines. They say now to just use the tasks but that is in no way the same. I LOVED having my different routines saved and under each routine you have sub tasks and can put how long each tasks takes. This is immensely helpful to those with ADHD and who are time blind."/>
    <x v="5"/>
    <x v="9"/>
    <x v="0"/>
    <s v="null"/>
  </r>
  <r>
    <s v="AS_US_013"/>
    <s v="APP STORE US"/>
    <s v="AS_US"/>
    <d v="2025-07-17T00:00:00"/>
    <n v="1"/>
    <s v="When I first did the trial for the app, I loved it and therefore moved ahead with the $45 purchase for a year. This company obviously doesn't know the ADHD brain. Yesterday I went to add an event and the entire screen was flipped and different. We need routine - we need things to stay the same once we learn it. I went from recommending this app to everyone to being upset and looking for a new app."/>
    <x v="5"/>
    <x v="9"/>
    <x v="1"/>
    <s v="null"/>
  </r>
  <r>
    <s v="AS_US_014"/>
    <s v="APP STORE US"/>
    <s v="AS_US"/>
    <d v="2025-07-15T00:00:00"/>
    <n v="4"/>
    <s v="I would really love if there was a way to assign an alert to tasks in the to do folder. Based off of how urgent they are. High priority alerts every day etc..."/>
    <x v="5"/>
    <x v="15"/>
    <x v="0"/>
    <s v="null"/>
  </r>
  <r>
    <s v="AS_US_015"/>
    <s v="APP STORE US"/>
    <s v="AS_US"/>
    <d v="2025-07-07T00:00:00"/>
    <n v="1"/>
    <s v="This app could not import all my calendars from Google calendar. It was unable to &quot;see&quot;/ import my most important one. The app was not intuitive to use, I found it confusing and frustrating. I could not figure out how to even get back to calendar importing to try again."/>
    <x v="6"/>
    <x v="13"/>
    <x v="0"/>
    <s v="null"/>
  </r>
  <r>
    <s v="AS_US_016"/>
    <s v="APP STORE US"/>
    <s v="AS_US"/>
    <d v="2025-03-06T00:00:00"/>
    <n v="1"/>
    <s v="I don’t understand it anymore. I used to use it for my daily routine every single day but the updates have made it confusing and unusable for me. I don’t know how to add, delete, or edit tasks in my routine, and things that didn’t used to require premium now do. Very sad about this."/>
    <x v="1"/>
    <x v="6"/>
    <x v="0"/>
    <s v="null"/>
  </r>
  <r>
    <s v="AS_US_017"/>
    <s v="APP STORE US"/>
    <s v="AS_US"/>
    <d v="2025-05-27T00:00:00"/>
    <n v="1"/>
    <s v="I have been a Lifetime Subscriber and user for over a year. This truly inspired app *had* the best thing going for people needing help with task avoidance: easy, repeatable, customizable *routines.* It was AMAZING and I used it all the time, when simply having a to-do on the calendar wasn’t enough. AND THEN THEY GOT RID OF IT. THEIR BEST FEATURE."/>
    <x v="5"/>
    <x v="9"/>
    <x v="0"/>
    <s v="null"/>
  </r>
  <r>
    <s v="AS_US_018"/>
    <s v="APP STORE US"/>
    <s v="AS_US"/>
    <d v="2025-05-05T00:00:00"/>
    <n v="2"/>
    <s v="Tiimo has a stunning interface and a calming aesthetic, but unfortunately, that’s not enough. The routines feature is completely missing, which is baffling given the app's purpose. Without routines or the ability to include subtasks with custom times, the app falls short of supporting those with executive functioning challenges — the very group it's marketed to help."/>
    <x v="5"/>
    <x v="9"/>
    <x v="0"/>
    <s v="null"/>
  </r>
  <r>
    <s v="AS_US_019"/>
    <s v="APP STORE US"/>
    <s v="AS_US"/>
    <d v="2025-04-14T00:00:00"/>
    <n v="1"/>
    <s v="I have used Tiimo for over 5 years (this is the reason I got an Apple Watch) but since removing routines the app is pointless. They took away their best feature, claim to ‘care about their audience’ and refuse to add routines back in-spite of hundreds of complaints from users that they need that feature. \n\nWhat they started with was great! Routines! A visual timer! Great! Lots of icons! Great!\n\nBut the app is now over engineered with a bunch of nonsense (pages of ‘tips’ for managing your ADHD or ASD (distracting and adds clutter)), a mood tracker (tons of other apps do this better), music for some reason??"/>
    <x v="5"/>
    <x v="9"/>
    <x v="0"/>
    <s v="null"/>
  </r>
  <r>
    <s v="AS_US_020"/>
    <s v="APP STORE US"/>
    <s v="AS_US"/>
    <d v="2025-06-05T00:00:00"/>
    <n v="3"/>
    <s v="Has So Many Great Features!! but is glitchy &amp; doesn’t save edits often. I am wasting a lot of time trying to edit &amp; save the edit of a task.\n\n1. Dragging to dos &amp; daily tasks to change priority doesn’t always work. Sometimes they bounce back to the original priority\n\n2. Changing set time to daily task to all day keeps reverting back to original set time after save\n\n3. Editing Title of To Do usually removes the save button &amp; you have to click around to bring it back because the DONE button doesn’t work. \n\n4. DONE actually makes a keyboard return in the Title &amp; that breaks it. Now you can’t save it. \n\nI might cancel after the free trial because the glitchy bugs are so frustrating &amp; waste a lot of time which I already struggle managing."/>
    <x v="0"/>
    <x v="2"/>
    <x v="1"/>
    <s v="null"/>
  </r>
  <r>
    <s v="AS_US_021"/>
    <s v="APP STORE US"/>
    <s v="AS_US"/>
    <d v="2025-06-03T00:00:00"/>
    <n v="1"/>
    <s v="I don’t understand it anymore. I used to use it for my daily routine every single day but the updates have made it confusing and unusable for me. I don’t know how to add, delete, or edit tasks in my routine, and things that didn’t used to require premium now do. Very sad about this."/>
    <x v="5"/>
    <x v="9"/>
    <x v="0"/>
    <s v="null"/>
  </r>
  <r>
    <s v="AS_US_022"/>
    <s v="APP STORE US"/>
    <s v="AS_US"/>
    <d v="2025-06-01T00:00:00"/>
    <n v="3"/>
    <s v="Heard about on adhd chatter and really wanted to like it. Setup felt clunky and the interface felt old to me."/>
    <x v="2"/>
    <x v="4"/>
    <x v="0"/>
    <s v="null"/>
  </r>
  <r>
    <s v="AS_US_023"/>
    <s v="APP STORE US"/>
    <s v="AS_US"/>
    <d v="2025-05-22T00:00:00"/>
    <n v="3"/>
    <s v="I really loved this app when I first got it almost a year ago! It was very intricate and encouraging to get things done, even with my ADHD symptoms. \n\nNow, I feel like it’s gotten a lot more bland and buggy. I don’t get consistent notifications for my scheduled tasks, and checking off items leaves them stuck in the list of I check them off too fast. \n\nI’m paying for the premium version of this app yearly, but now I’m considering not renewing because of how disappointing it has become. I hope the devs can get out back to what it was, or better!!"/>
    <x v="0"/>
    <x v="2"/>
    <x v="1"/>
    <s v="null"/>
  </r>
  <r>
    <s v="AS_US_024"/>
    <s v="APP STORE US"/>
    <s v="AS_US"/>
    <d v="2025-05-20T00:00:00"/>
    <n v="3"/>
    <s v="I work best with native desktop apps (being on my phone is incredibly distracting), so I tried the web app. While it works, it does not have all the same features as the iPhone app (like “anytime” folder just isn’t there, so I can’t add something to ‘anytime’, nor schedule a task from ‘anytime’) and they just *do not* sync properly. I wanted to leave a review bc I really like this app, but it’s unusable for me the way it is, so I hope some great improvements are made (native desktop??) so it can be even better."/>
    <x v="6"/>
    <x v="16"/>
    <x v="1"/>
    <s v="null"/>
  </r>
  <r>
    <s v="AS_US_025"/>
    <s v="APP STORE US"/>
    <s v="AS_US"/>
    <d v="2025-10-19T00:00:00"/>
    <n v="3"/>
    <s v="I love the concept of this app but it is SO GLITCHY it’s becoming unusable for me. I have been using it for a year and there are so many bugs. It’s so frustrating. I’m about to delete it because every day there’s new issues"/>
    <x v="0"/>
    <x v="2"/>
    <x v="1"/>
    <s v="null"/>
  </r>
  <r>
    <s v="AS_US_026"/>
    <s v="APP STORE US"/>
    <s v="AS_US"/>
    <d v="2025-10-20T00:00:00"/>
    <n v="3"/>
    <s v="It regular has glitches that keep me from being able to add or edit a task. I get the spinning wheel of death a lot. The integration \nwith Google and outlook calendars was exactly the right idea, but that too is unreliable. "/>
    <x v="0"/>
    <x v="1"/>
    <x v="0"/>
    <s v="null"/>
  </r>
  <r>
    <s v="AS_US_027"/>
    <s v="APP STORE US"/>
    <s v="AS_US"/>
    <d v="2025-10-20T00:00:00"/>
    <n v="2"/>
    <s v="I like the app when it’s working but I keep getting crashes! Like every other minute. If I close a bunch of open apps it works but If any other apps are in the background the app crashes and closes."/>
    <x v="4"/>
    <x v="8"/>
    <x v="0"/>
    <s v="null"/>
  </r>
  <r>
    <s v="AS_US_028"/>
    <s v="APP STORE US"/>
    <s v="AS_US"/>
    <d v="2025-10-21T00:00:00"/>
    <n v="2"/>
    <s v="Ever since the new OS 26 update the app has been very glitchy. Sometimes it won’t work. As soon as I open the app, in less than 2 seconds, the app closes. As for my calendars, they don’t sync. Although on the calendar import settings it shows both of them as “active”. That has been going on for a week now. I loved this app but until that’s fixed I’ll be using a different app."/>
    <x v="6"/>
    <x v="1"/>
    <x v="1"/>
    <s v="null"/>
  </r>
  <r>
    <s v="AS_US_029"/>
    <s v="APP STORE US"/>
    <s v="AS_US"/>
    <d v="2025-12-05T00:00:00"/>
    <n v="3"/>
    <s v="Some of the functionalities/ automations are really cool like the countdown clock during an event. but I had a lot of issues with glitching, it maybe just too many features, or that it’s getting used a lot more all around by folks after winning app of the year. I may just like my current process better and prefer apps like ticktick for my flow. I appreciate the neurodivergent tools being created for us!"/>
    <x v="4"/>
    <x v="8"/>
    <x v="1"/>
    <s v="null"/>
  </r>
  <r>
    <s v="AS_US_030"/>
    <s v="APP STORE US"/>
    <s v="AS_US"/>
    <d v="2025-11-25T00:00:00"/>
    <n v="2"/>
    <s v="This app looks potentially great, but In having several frustrations:\n1.  I’m trying to check out the free version and a prompt to leave a review pops up literally every time I create a new task, so my time demoing the app is very interrupted. The cost is $54 / year or a whopping $12/ month (for reference, TickTick is an amazing app that costs just $35.99 yearly or $3.99 / month, and most other great to-do list apps are in a similar range). Without getting to even test out the advanced features, I see no reason to buy this app or any reason why this price tag could be worth it.."/>
    <x v="1"/>
    <x v="17"/>
    <x v="1"/>
    <s v="null"/>
  </r>
  <r>
    <s v="AS_US_031"/>
    <s v="APP STORE US"/>
    <s v="AS_US"/>
    <d v="2025-11-25T00:00:00"/>
    <n v="2"/>
    <s v="Having problems getting every event and task from all calendars on the app&quot;"/>
    <x v="0"/>
    <x v="1"/>
    <x v="0"/>
    <s v="null"/>
  </r>
  <r>
    <s v="AS_US_032"/>
    <s v="APP STORE US"/>
    <s v="AS_US"/>
    <d v="2026-01-15T00:00:00"/>
    <n v="1"/>
    <s v="the app is missing so many basic features like why can't I see the entire calendar at once? why can't l access the routines or make time blocks that are visible?"/>
    <x v="0"/>
    <x v="9"/>
    <x v="0"/>
    <s v="null"/>
  </r>
  <r>
    <s v="AS_US_033"/>
    <s v="APP STORE US"/>
    <s v="AS_US"/>
    <d v="2026-01-04T00:00:00"/>
    <n v="3"/>
    <s v="I had high hopes for this app, but after trying it out for a few days, I've discovered that there are odd bugs as surprises everywhere. For example, after setting up a time and task list, I went into create an emoji. When ! finished and went back to my task list it had changed completely in timing. It was no longer sorted morning day and evening for example. I tried to search an answer to why this happened and could find nothing. Also, for unknown reasons, the pinch to change calendar view does not work at all. The only thing I seem to be able to do is make a task, put in the details, and hope that it goes to the right place at the right time. After this initial experience, I would not pay for a pro version."/>
    <x v="0"/>
    <x v="1"/>
    <x v="1"/>
    <s v="null"/>
  </r>
  <r>
    <s v="AS_US_034"/>
    <s v="APP STORE US"/>
    <s v="AS_US"/>
    <d v="2025-10-20T00:00:00"/>
    <n v="3"/>
    <s v="It regular has glitches that keep me from being able to add or edit a task. I get the spinning wheel of death a lot. The integration \nwith Google and outlook calendars was exactly the right idea, but that too is unreliable. "/>
    <x v="0"/>
    <x v="2"/>
    <x v="0"/>
    <s v="null"/>
  </r>
  <r>
    <s v="AS_US_035"/>
    <s v="APP STORE US"/>
    <s v="AS_US"/>
    <d v="2025-10-21T00:00:00"/>
    <n v="2"/>
    <s v="Ever since the new OS 26 update the app has been very glitchy. Sometimes it won’t work. As soon as I open the app, in less than 2 seconds, the app closes. As for my calendars, they don’t sync. Although on the calendar import settings it shows both of them as “active”. That has been going on for a week now. I loved this app but until that’s fixed I’ll be using a different app."/>
    <x v="4"/>
    <x v="8"/>
    <x v="1"/>
    <s v="null"/>
  </r>
  <r>
    <s v="AS_US_036"/>
    <s v="APP STORE US"/>
    <s v="AS_US"/>
    <d v="2025-09-10T00:00:00"/>
    <n v="3"/>
    <s v="The desktop version doesn't synchronize with the iphone so you have to choose which platform you will use it on. The apple watch view doesn't include calendar information. I've put in requests for information and bug fixes with no response. I do like how the app functions on my phone. It is nice to have calendar appointments and a place for tasks to be listed and prioritized to structure my day. One of the bugs is needed to import the calendar every time the app is opened"/>
    <x v="0"/>
    <x v="1"/>
    <x v="0"/>
    <s v="null"/>
  </r>
  <r>
    <s v="BG_001"/>
    <s v="BLOG"/>
    <s v="BG"/>
    <d v="2025-12-19T00:00:00"/>
    <s v="null"/>
    <s v="Cons” section (learning curve; not ideal for minimalists)."/>
    <x v="3"/>
    <x v="5"/>
    <x v="0"/>
    <s v="https://twit.tv/posts/tech/how-tiimo-makes-task-and-time-management-easier-neurodiverse-users"/>
  </r>
  <r>
    <s v="BG_002"/>
    <s v="BLOG"/>
    <s v="BG"/>
    <d v="2026-01-13T00:00:00"/>
    <s v="null"/>
    <s v="calls out “common criticism” such as learning curve and subscription price."/>
    <x v="1"/>
    <x v="17"/>
    <x v="0"/>
    <s v="https://yourappland.com/tiimo-vs-structured-comparison/"/>
  </r>
  <r>
    <s v="NT_001"/>
    <s v="NOLT"/>
    <s v="NT"/>
    <d v="2025-01-01T00:00:00"/>
    <s v="null"/>
    <s v="I really used the routine feature and I don’t mind that you guys changed it except for the fact that the sub tasks aren’t timed. I really used the timed sub tasks that automatically went on to the next one. That was one of the main reasons I used this app and bought premium was because the routines really helped me. Unfortunately this app is slightly less useful for me now and I don’t use it very often. Thank you for your consideration."/>
    <x v="5"/>
    <x v="9"/>
    <x v="0"/>
    <s v="https://tiimo.nolt.io/2794"/>
  </r>
  <r>
    <s v="NT_002"/>
    <s v="NOLT"/>
    <s v="NT"/>
    <d v="2025-01-01T00:00:00"/>
    <s v="null"/>
    <s v="Really need auto save on this app. Sometimes I get distracted and move away from creating a task and it’ll just disappear and I have to start over."/>
    <x v="5"/>
    <x v="5"/>
    <x v="0"/>
    <s v="https://tiimo.nolt.io/2555"/>
  </r>
  <r>
    <s v="NT_003"/>
    <s v="NOLT"/>
    <s v="NT"/>
    <d v="2025-01-01T00:00:00"/>
    <s v="null"/>
    <s v="I NEED to time everything not just the main task to understand how long each sub task will take me, this can help calculate estimated time of main task vs actual time completed"/>
    <x v="3"/>
    <x v="5"/>
    <x v="0"/>
    <s v="https://tiimo.nolt.io/2553"/>
  </r>
  <r>
    <s v="NT_004"/>
    <s v="NOLT"/>
    <s v="NT"/>
    <d v="2025-01-01T00:00:00"/>
    <s v="null"/>
    <s v="Please revert to the way routines were previously set up in the app. The removal of this feature makes the app far less useful to me."/>
    <x v="5"/>
    <x v="9"/>
    <x v="0"/>
    <s v="https://tiimo.nolt.io/2733"/>
  </r>
  <r>
    <s v="NT_005"/>
    <s v="NOLT"/>
    <s v="NT"/>
    <d v="2026-01-23T00:00:00"/>
    <s v="null"/>
    <s v="Apple changed how widgets work, grr. Rather than being a live extension of the app they are now a snapshot of the app and any changes made need to be pushed to the widget. Please dear Tiimo developers can you integrate the new functionality (APNs) to push to widgets when changes have been made."/>
    <x v="5"/>
    <x v="18"/>
    <x v="0"/>
    <s v="https://tiimo.nolt.io/3980"/>
  </r>
  <r>
    <s v="NT_006"/>
    <s v="NOLT"/>
    <s v="NT"/>
    <d v="2026-01-21T00:00:00"/>
    <s v="null"/>
    <s v="Create features for people always traveling / digital nomads"/>
    <x v="5"/>
    <x v="5"/>
    <x v="0"/>
    <s v="https://tiimo.nolt.io/3969"/>
  </r>
  <r>
    <s v="NT_007"/>
    <s v="NOLT"/>
    <s v="NT"/>
    <d v="2026-01-19T00:00:00"/>
    <s v="null"/>
    <s v="It would be very helpful to have a way to retain routines and insert as needed. For example, clean a bedroom. The suggested tasks were not the same as what I need so I created my own list. It would be nice to have a specific space to keep the routine to move it to the day I have available to clean the room. I have it in to do but it’s just too cluttered there."/>
    <x v="5"/>
    <x v="9"/>
    <x v="0"/>
    <s v="https://tiimo.nolt.io/3963"/>
  </r>
  <r>
    <s v="NT_008"/>
    <s v="NOLT"/>
    <s v="NT"/>
    <d v="2026-01-19T00:00:00"/>
    <s v="null"/>
    <s v="the ai is very difficult to use. it doesn’t do what i ask it when i list tasks, and it straight up stopped responding to me after sending it tasks. unfortunately, this feature seems incomplete. it works hit or miss for me, at best :("/>
    <x v="0"/>
    <x v="19"/>
    <x v="0"/>
    <s v="https://tiimo.nolt.io/3979"/>
  </r>
  <r>
    <s v="NT_009"/>
    <s v="NOLT"/>
    <s v="NT"/>
    <d v="2026-01-15T00:00:00"/>
    <s v="null"/>
    <s v="Don't force peolpe to sign up to a free tiral just to try it"/>
    <x v="1"/>
    <x v="6"/>
    <x v="0"/>
    <s v="https://tiimo.nolt.io/3949"/>
  </r>
  <r>
    <s v="NT_010"/>
    <s v="NOLT"/>
    <s v="NT"/>
    <d v="2026-01-15T00:00:00"/>
    <s v="null"/>
    <s v="I’m happy to pay what I need to but just want to know that what I’m paying for will work for me. Trying to assess that in a week is like asking me to completely assemble a rocket ship (without an instruction manual) in one week"/>
    <x v="1"/>
    <x v="5"/>
    <x v="0"/>
    <s v="https://tiimo.nolt.io/3948"/>
  </r>
  <r>
    <s v="NT_011"/>
    <s v="NOLT"/>
    <s v="NT"/>
    <d v="2026-01-15T00:00:00"/>
    <s v="null"/>
    <s v="Please can you change the default time to “at time” and prompt to put in the time rather than defaulting to “morning”, “day” etc whe you’re in the calendar mode. Thank you."/>
    <x v="5"/>
    <x v="5"/>
    <x v="0"/>
    <s v="https://tiimo.nolt.io/3943"/>
  </r>
  <r>
    <s v="NT_012"/>
    <s v="NOLT"/>
    <s v="NT"/>
    <d v="2026-01-14T00:00:00"/>
    <s v="null"/>
    <s v="I cannot connect to my external calendar at all on my Mac. It allows me to select calendars then when I save it says I am not connected to any. Very frustrating. Cannot find help function to report"/>
    <x v="6"/>
    <x v="1"/>
    <x v="0"/>
    <s v="https://tiimo.nolt.io/3938"/>
  </r>
  <r>
    <s v="NT_013"/>
    <s v="NOLT"/>
    <s v="NT"/>
    <d v="2026-01-03T00:00:00"/>
    <s v="null"/>
    <s v="View only Android (temporary solution)"/>
    <x v="6"/>
    <x v="14"/>
    <x v="0"/>
    <s v="https://tiimo.nolt.io/3887"/>
  </r>
  <r>
    <s v="NT_014"/>
    <s v="NOLT"/>
    <s v="NT"/>
    <d v="2026-01-16T00:00:00"/>
    <s v="null"/>
    <s v="Please bring this to android, myself and about 6 or 7 friends can’t believe you aren’t!"/>
    <x v="6"/>
    <x v="14"/>
    <x v="0"/>
    <s v="https://tiimo.nolt.io/3951"/>
  </r>
  <r>
    <s v="NT_015"/>
    <s v="NOLT"/>
    <s v="NT"/>
    <d v="2025-11-01T00:00:00"/>
    <s v="null"/>
    <s v="Is there an android app available in the UK? Unable to find in play store"/>
    <x v="6"/>
    <x v="14"/>
    <x v="0"/>
    <s v="https://tiimo.nolt.io/3707"/>
  </r>
  <r>
    <s v="NT_016"/>
    <s v="NOLT"/>
    <s v="NT"/>
    <d v="2026-01-12T00:00:00"/>
    <s v="null"/>
    <s v="The layout and easy use of Timo is great, but it’s lack of integration with Apple health for things like steps, workout, water, cycle really limits its use and cost making it no more useful than a paper diary"/>
    <x v="6"/>
    <x v="12"/>
    <x v="0"/>
    <s v="https://tiimo.nolt.io/3928"/>
  </r>
  <r>
    <s v="NT_017"/>
    <s v="NOLT"/>
    <s v="NT"/>
    <d v="2026-01-01T00:00:00"/>
    <s v="null"/>
    <s v="The one-time special purchase offer should be accessible at a later time via the app settings. Especially people with ADHD for whom the app is developed need to be able to access that offer at another time. So far I’ve been given this offer briefly one time but of course I was or have gotten distracted I would have otherwise purchased it but now I can’t get back to it."/>
    <x v="1"/>
    <x v="5"/>
    <x v="0"/>
    <s v="https://tiimo.nolt.io/3880"/>
  </r>
  <r>
    <s v="NT_018"/>
    <s v="NOLT"/>
    <s v="NT"/>
    <d v="2025-12-01T00:00:00"/>
    <s v="null"/>
    <s v="A single time purchase that unlocks all non ai features."/>
    <x v="1"/>
    <x v="5"/>
    <x v="0"/>
    <s v="https://tiimo.nolt.io/3769"/>
  </r>
  <r>
    <s v="NT_019"/>
    <s v="NOLT"/>
    <s v="NT"/>
    <d v="2025-11-01T00:00:00"/>
    <s v="null"/>
    <s v="I think the ability to integrate a specific notion database tasks and have them sync into Tiimo with support for subtasks would really boost the app without need to build a huge backend for it."/>
    <x v="5"/>
    <x v="5"/>
    <x v="0"/>
    <s v="https://tiimo.nolt.io/3713"/>
  </r>
  <r>
    <s v="RD_001"/>
    <s v="REDDIT"/>
    <s v="RD"/>
    <d v="2025-09-01T00:00:00"/>
    <s v="null"/>
    <s v="Tiimo never syncs to my Apple Watch and constantly signs me out on it"/>
    <x v="6"/>
    <x v="12"/>
    <x v="0"/>
    <s v="https://www.reddit.com/r/structuredapp/comments/1iifnv6/switching_to_tiimo/"/>
  </r>
  <r>
    <s v="RD_002"/>
    <s v="REDDIT"/>
    <s v="RD"/>
    <d v="2025-01-01T00:00:00"/>
    <s v="null"/>
    <s v="I’m autistic so while the idea of a visual timeline and structure should work, I found it too rigid, and that’s saying something! Basically it fed into my autistic rigidity and if I was late starting a task and it had a countdown in it, I’d be feeling really pressured."/>
    <x v="3"/>
    <x v="5"/>
    <x v="0"/>
    <s v="https://www.reddit.com/r/structuredapp/comments/1iifnv6/switching_to_tiimo/"/>
  </r>
  <r>
    <s v="RD_003"/>
    <s v="REDDIT"/>
    <s v="RD"/>
    <d v="2025-03-01T00:00:00"/>
    <s v="null"/>
    <s v="I currently use Tiimo and absolutely LOVE it. However I’m currently having issues with the newest iOS update. I’m not getting any of my calendar task notifications from Tiimo. It’s very frustrating. I reached out and they were sending it to their dev team. I haven’t heard anything after that."/>
    <x v="0"/>
    <x v="1"/>
    <x v="0"/>
    <s v="https://www.reddit.com/r/structuredapp/comments/1iifnv6/switching_to_tiimo/"/>
  </r>
  <r>
    <s v="RD_004"/>
    <s v="REDDIT"/>
    <s v="RD"/>
    <d v="2025-01-01T00:00:00"/>
    <s v="null"/>
    <s v=" I would NOT recommend paying for the app. It has a lot of issues with some basic features. I have connected with the support about them but they’ve gone silent after awhile so I don’t have a lot of faith in them being fixed. Some key issues have to do with a big part of the app - timers. Timers not pausing, timers pausing when they shouldn’t, timers adding time when they shouldn’t, etc. I would say the app is best used when you are not using the timers but using it as a task bank/scheduler."/>
    <x v="0"/>
    <x v="20"/>
    <x v="1"/>
    <s v="https://www.reddit.com/r/ADHD/comments/1ghym17/my_thoughts_on_the_adhd_app_tiimo_an_app_to_help/"/>
  </r>
  <r>
    <s v="RD_005"/>
    <s v="REDDIT"/>
    <s v="RD"/>
    <d v="2025-03-01T00:00:00"/>
    <s v="null"/>
    <s v="I’ve been using Tiimo for almost a year now, and I love it because I’m terrible at keeping track of time. They took routines away a while back, and I think it was a bad move, but I continued to use the app. Fast-forward to now, and I’m disappointed because the app is more buggy than ever."/>
    <x v="5"/>
    <x v="9"/>
    <x v="0"/>
    <s v="https://www.reddit.com/r/ADHD/comments/1jff09x/recommendations_for_apps_similar_to_tiimo/"/>
  </r>
  <r>
    <s v="RD_006"/>
    <s v="REDDIT"/>
    <s v="RD"/>
    <d v="2025-12-01T00:00:00"/>
    <s v="null"/>
    <s v="i like tiimo, but i don't like how drastically they changed the app. i started using it last summer to help schedule my day, and i love the timers feature. i even paid for the premium version because i liked it so much. but then they changed the entire UI/UX and i didn't like it anymore. i don't adjust well to change and i was so upset that an app i loved changed so much. i really love the specific way tiimo's timers work though, so i might try the free version again just for that purpose."/>
    <x v="2"/>
    <x v="5"/>
    <x v="0"/>
    <s v="https://www.reddit.com/r/adhdwomen/comments/1pa8e14/has_anyone_of_you_used_tiimo_or_things_3_apps/"/>
  </r>
  <r>
    <s v="RD_007"/>
    <s v="REDDIT"/>
    <s v="RD"/>
    <d v="2025-03-01T00:00:00"/>
    <s v="null"/>
    <s v="Im an ex-Tiimo and current Llama Life user and I just want to replicate the timer-based routine functionality of these apps in Marvin. Can anyone share their setup to achieve this?"/>
    <x v="5"/>
    <x v="9"/>
    <x v="0"/>
    <s v="https://www.reddit.com/r/amazingmarvin/comments/1jiaecv/daily_routines_beat_the_clock_is_blank/"/>
  </r>
  <r>
    <s v="RD_008"/>
    <s v="REDDIT"/>
    <s v="RD"/>
    <d v="2025-08-01T00:00:00"/>
    <s v="null"/>
    <s v="I tried the tiimo app but I've learned that they removed routines altogether and it's all based on &quot;AI&quot; now. I tried to enter events in as best as I could but it failed to save or retrieve them constantly and eventually I got it all sorted and went back to the dashboard only to find that there were no events what soever, nothing saved or it was all erased. This was within one hour of extremely frustrating attempts to use this thing, I got pretty upset over it. Shame, I heard it was great for routines before all of this nonsense."/>
    <x v="5"/>
    <x v="9"/>
    <x v="0"/>
    <s v="https://www.reddit.com/r/autism/comments/1mvhqb2/does_any_know_any_good_routine_apps_that_are/"/>
  </r>
  <r>
    <s v="RD_009"/>
    <s v="REDDIT"/>
    <s v="RD"/>
    <d v="2025-01-01T00:00:00"/>
    <s v="null"/>
    <s v="i have relied on tiimo for a long time to actually get stuff done, and they have just removed the most helpful feature - creating routines, and telling you when the time is up for each activity in your routine. are there any similar apps any of you recommend? i've already been having problems with the app for the last year or so when they changed the design, but this has tipped it over the edge, it's basically unusable to me now. i need an app that is compatible with apple watch"/>
    <x v="6"/>
    <x v="12"/>
    <x v="1"/>
    <s v="https://www.reddit.com/r/ADHD/comments/1ga9na3/apps_to_help_with_functioning/"/>
  </r>
  <r>
    <s v="RD_010"/>
    <s v="REDDIT"/>
    <s v="RD"/>
    <d v="2025-01-01T00:00:00"/>
    <s v="null"/>
    <s v="I used to use Tiimo mainly for the timed routine functionality. For example, I could create a routine and time each task so I knew exactly how long left I had to get dressed, shower etc. Now they got rid of routines and it’s thrown me off my mornings. Now I see I have 30 minutes to my morning routine, but I have no idea how much longer I have to spend on each task before I run out of time."/>
    <x v="5"/>
    <x v="9"/>
    <x v="0"/>
    <s v="https://www.reddit.com/r/ADHD/comments/1g9u8w1/apps_for_time_blindness_or_timed_routines/"/>
  </r>
  <r>
    <s v="RD_011"/>
    <s v="REDDIT"/>
    <s v="RD"/>
    <d v="2025-03-01T00:00:00"/>
    <s v="null"/>
    <s v="I'm essentially looking for what Tiimo used to have. They used to have &quot;routines&quot; which is essentially grouped tasks together that can be dropped into whatever time. I want to be able to plan my day hour by hour and I also want the functionality of routines. Please tell me this exists somewhere!"/>
    <x v="5"/>
    <x v="9"/>
    <x v="0"/>
    <s v="https://www.reddit.com/r/ProductivityApps/comments/1jq1ki1/daily_planning_app_with_routines/"/>
  </r>
  <r>
    <s v="RD_012"/>
    <s v="REDDIT"/>
    <s v="RD"/>
    <d v="2025-05-01T00:00:00"/>
    <s v="null"/>
    <s v="Anyone have any recommendations? I LOVED tiimo so much when they had routines but they have removed that feature now and it’s been super deregulating to me :( I really need something that allows me to combine routines with time blocking and am struggling to find any good alternatives :(("/>
    <x v="5"/>
    <x v="9"/>
    <x v="1"/>
    <s v="https://www.reddit.com/r/AutismInWomen/comments/1kwdwfi/routines_app_alternatives_to_tiimo/"/>
  </r>
  <r>
    <s v="RD_013"/>
    <s v="REDDIT"/>
    <s v="RD"/>
    <d v="2025-01-01T00:00:00"/>
    <s v="null"/>
    <s v="i have relied on tiimo for a long time to actually get stuff done, and they have just removed the most helpful feature - creating routines, and telling you when the time is up for each activity in your routine. are there any similar apps any of you recommend? i've already been having problems with the app for the last year or so when they changed the design, but this has tipped it over the edge, it's basically unusable to me now. i need an app that is compatible with apple watch"/>
    <x v="5"/>
    <x v="9"/>
    <x v="1"/>
    <s v="https://www.reddit.com/r/ADHD/comments/1ga9na3/apps_to_help_with_functioning/"/>
  </r>
  <r>
    <s v="RD_014"/>
    <s v="REDDIT"/>
    <s v="RD"/>
    <d v="2025-03-01T00:00:00"/>
    <s v="null"/>
    <s v="I’ve been using Tiimo for almost a year now, and I love it because I’m terrible at keeping track of time. They took routines away a while back, and I think it was a bad move, but I continued to use the app. Fast-forward to now, and I’m disappointed because the app is more buggy than ever."/>
    <x v="0"/>
    <x v="5"/>
    <x v="0"/>
    <s v="https://www.reddit.com/r/ADHD/comments/1jff09x/recommendations_for_apps_similar_to_tiimo/"/>
  </r>
  <r>
    <s v="TP_001"/>
    <s v="TRUST PILOT"/>
    <s v="TP"/>
    <d v="2026-01-20T00:00:00"/>
    <n v="1"/>
    <s v="The took money and i have no access. Wrote many emails - zero contact. Cannot even cancel subsricption as I have no access to the account. this is beyond ridiculous. I dont believe they have any customer service team at all. NO ONE IS RESPONDING - not even an automatic email. But payment was taken - they didnt have problem with that. Another SCAM????"/>
    <x v="1"/>
    <x v="3"/>
    <x v="1"/>
    <s v="https://www.trustpilot.com/review/tiimoapp.com?stars=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67D6D3-B71D-D246-B79C-D3A4B0D283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J38" firstHeaderRow="1" firstDataRow="3" firstDataCol="1"/>
  <pivotFields count="10">
    <pivotField showAll="0"/>
    <pivotField showAll="0"/>
    <pivotField showAll="0"/>
    <pivotField numFmtId="164" showAll="0"/>
    <pivotField showAll="0"/>
    <pivotField showAll="0"/>
    <pivotField axis="axisRow" dataField="1" showAll="0">
      <items count="10">
        <item x="0"/>
        <item m="1" x="8"/>
        <item x="5"/>
        <item x="6"/>
        <item x="3"/>
        <item x="4"/>
        <item x="1"/>
        <item x="2"/>
        <item m="1" x="7"/>
        <item t="default"/>
      </items>
    </pivotField>
    <pivotField axis="axisRow" showAll="0">
      <items count="29">
        <item x="19"/>
        <item x="15"/>
        <item x="14"/>
        <item x="12"/>
        <item x="10"/>
        <item x="1"/>
        <item x="4"/>
        <item x="8"/>
        <item x="13"/>
        <item x="17"/>
        <item m="1" x="26"/>
        <item x="11"/>
        <item x="6"/>
        <item m="1" x="25"/>
        <item m="1" x="27"/>
        <item x="3"/>
        <item m="1" x="24"/>
        <item x="9"/>
        <item x="7"/>
        <item x="0"/>
        <item x="20"/>
        <item x="2"/>
        <item x="5"/>
        <item x="16"/>
        <item x="18"/>
        <item m="1" x="22"/>
        <item m="1" x="23"/>
        <item m="1" x="21"/>
        <item t="default"/>
      </items>
    </pivotField>
    <pivotField axis="axisCol" showAll="0">
      <items count="4">
        <item x="0"/>
        <item x="1"/>
        <item m="1" x="2"/>
        <item t="default"/>
      </items>
    </pivotField>
    <pivotField showAll="0"/>
  </pivotFields>
  <rowFields count="2">
    <field x="6"/>
    <field x="7"/>
  </rowFields>
  <rowItems count="35">
    <i>
      <x/>
    </i>
    <i r="1">
      <x/>
    </i>
    <i r="1">
      <x v="5"/>
    </i>
    <i r="1">
      <x v="11"/>
    </i>
    <i r="1">
      <x v="17"/>
    </i>
    <i r="1">
      <x v="19"/>
    </i>
    <i r="1">
      <x v="20"/>
    </i>
    <i r="1">
      <x v="21"/>
    </i>
    <i r="1">
      <x v="22"/>
    </i>
    <i>
      <x v="2"/>
    </i>
    <i r="1">
      <x v="1"/>
    </i>
    <i r="1">
      <x v="17"/>
    </i>
    <i r="1">
      <x v="22"/>
    </i>
    <i r="1">
      <x v="24"/>
    </i>
    <i>
      <x v="3"/>
    </i>
    <i r="1">
      <x v="2"/>
    </i>
    <i r="1">
      <x v="3"/>
    </i>
    <i r="1">
      <x v="5"/>
    </i>
    <i r="1">
      <x v="8"/>
    </i>
    <i r="1">
      <x v="23"/>
    </i>
    <i>
      <x v="4"/>
    </i>
    <i r="1">
      <x v="22"/>
    </i>
    <i>
      <x v="5"/>
    </i>
    <i r="1">
      <x v="7"/>
    </i>
    <i>
      <x v="6"/>
    </i>
    <i r="1">
      <x v="4"/>
    </i>
    <i r="1">
      <x v="9"/>
    </i>
    <i r="1">
      <x v="12"/>
    </i>
    <i r="1">
      <x v="15"/>
    </i>
    <i r="1">
      <x v="22"/>
    </i>
    <i>
      <x v="7"/>
    </i>
    <i r="1">
      <x v="6"/>
    </i>
    <i r="1">
      <x v="18"/>
    </i>
    <i r="1">
      <x v="22"/>
    </i>
    <i t="grand">
      <x/>
    </i>
  </rowItems>
  <colFields count="2">
    <field x="8"/>
    <field x="-2"/>
  </colFields>
  <colItems count="9">
    <i>
      <x/>
      <x/>
    </i>
    <i r="1" i="1">
      <x v="1"/>
    </i>
    <i r="1" i="2">
      <x v="2"/>
    </i>
    <i>
      <x v="1"/>
      <x/>
    </i>
    <i r="1" i="1">
      <x v="1"/>
    </i>
    <i r="1" i="2">
      <x v="2"/>
    </i>
    <i t="grand">
      <x/>
    </i>
    <i t="grand" i="1">
      <x/>
    </i>
    <i t="grand" i="2">
      <x/>
    </i>
  </colItems>
  <dataFields count="3">
    <dataField name="Count of Issue" fld="6" subtotal="count" baseField="0" baseItem="0"/>
    <dataField name="Percent of Issue" fld="6" subtotal="count" showDataAs="percentOfTotal" baseField="0" baseItem="0" numFmtId="10"/>
    <dataField name="Percent of Churn issues" fld="6"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791155-2902-054E-A14E-7F996ADE1A9A}" name="TB_Stakholder_Matrix" displayName="TB_Stakholder_Matrix" ref="A1:I16" totalsRowShown="0" headerRowDxfId="10" dataDxfId="9">
  <autoFilter ref="A1:I16" xr:uid="{67791155-2902-054E-A14E-7F996ADE1A9A}"/>
  <tableColumns count="9">
    <tableColumn id="1" xr3:uid="{40B27DF3-AC3F-6045-8E22-345DFB224365}" name="Stakeholder Name" dataDxfId="8"/>
    <tableColumn id="2" xr3:uid="{F4AAC0F6-90D3-5B43-9827-A3090F816DE0}" name="Role/Category" dataDxfId="7"/>
    <tableColumn id="3" xr3:uid="{1944ED3A-F920-464F-AA7D-1DDD0920ACD1}" name="Power " dataDxfId="6"/>
    <tableColumn id="4" xr3:uid="{1300E04E-452E-1A4D-9C87-E02EBD8DD1B8}" name="Interest " dataDxfId="5"/>
    <tableColumn id="11" xr3:uid="{8627E0D5-6AA9-344C-B889-74AFCF8F8858}" name="Composite Score" dataDxfId="4">
      <calculatedColumnFormula>TB_Stakholder_Matrix[[#This Row],[Power ]]*TB_Stakholder_Matrix[[#This Row],[Interest ]]</calculatedColumnFormula>
    </tableColumn>
    <tableColumn id="6" xr3:uid="{BA0670C5-4C38-5640-987D-71A18D994FBC}" name="Power-Interest Quadrant" dataDxfId="3"/>
    <tableColumn id="7" xr3:uid="{B7461DCE-F610-2846-A95E-BB143A74EA50}" name="Engagement Strategy" dataDxfId="2"/>
    <tableColumn id="10" xr3:uid="{DD7A32A1-977F-A14D-9E06-D6B2D23C9038}" name="Elicitation Techniques" dataDxfId="1"/>
    <tableColumn id="9" xr3:uid="{40D565E5-0F88-6344-BD17-4E5DC960A9BE}" name="Elicitation Priority"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0AEF-0DE4-BC4C-A1A3-82EC154536EF}">
  <dimension ref="A1:J114"/>
  <sheetViews>
    <sheetView zoomScale="140" zoomScaleNormal="140" workbookViewId="0">
      <pane xSplit="1" ySplit="1" topLeftCell="B72" activePane="bottomRight" state="frozen"/>
      <selection pane="topRight" activeCell="B1" sqref="B1"/>
      <selection pane="bottomLeft" activeCell="A2" sqref="A2"/>
      <selection pane="bottomRight" activeCell="F1" sqref="F1"/>
    </sheetView>
  </sheetViews>
  <sheetFormatPr baseColWidth="10" defaultRowHeight="16" x14ac:dyDescent="0.2"/>
  <cols>
    <col min="1" max="1" width="10.83203125" style="3"/>
    <col min="2" max="2" width="11.33203125" style="3" customWidth="1"/>
    <col min="3" max="3" width="12.5" style="3" customWidth="1"/>
    <col min="4" max="4" width="13" style="10" customWidth="1"/>
    <col min="5" max="5" width="10.83203125" style="3"/>
    <col min="6" max="6" width="52" style="1" customWidth="1"/>
    <col min="7" max="7" width="14.1640625" style="3" customWidth="1"/>
    <col min="8" max="8" width="16.5" style="3" customWidth="1"/>
    <col min="9" max="9" width="14" style="3" customWidth="1"/>
    <col min="10" max="10" width="29" style="1" customWidth="1"/>
  </cols>
  <sheetData>
    <row r="1" spans="1:10" s="7" customFormat="1" ht="17" x14ac:dyDescent="0.2">
      <c r="A1" s="5" t="s">
        <v>2</v>
      </c>
      <c r="B1" s="5" t="s">
        <v>0</v>
      </c>
      <c r="C1" s="5" t="s">
        <v>6</v>
      </c>
      <c r="D1" s="9" t="s">
        <v>282</v>
      </c>
      <c r="E1" s="5" t="s">
        <v>1</v>
      </c>
      <c r="F1" s="6" t="s">
        <v>3</v>
      </c>
      <c r="G1" s="5" t="s">
        <v>173</v>
      </c>
      <c r="H1" s="5" t="s">
        <v>256</v>
      </c>
      <c r="I1" s="5" t="s">
        <v>4</v>
      </c>
      <c r="J1" s="6" t="s">
        <v>5</v>
      </c>
    </row>
    <row r="2" spans="1:10" ht="53" x14ac:dyDescent="0.2">
      <c r="A2" s="3" t="str">
        <f>IF(F2="","",C2&amp;"_"&amp;TEXT(COUNTIFS($C$2:C2,C2,$F$2:F2,"&lt;&gt;"),"000"))</f>
        <v>AS_AU_001</v>
      </c>
      <c r="B2" s="3" t="s">
        <v>149</v>
      </c>
      <c r="C2" s="3" t="s">
        <v>150</v>
      </c>
      <c r="D2" s="10">
        <v>45881</v>
      </c>
      <c r="E2" s="3">
        <v>2</v>
      </c>
      <c r="F2" s="1" t="s">
        <v>140</v>
      </c>
      <c r="G2" s="3" t="str" cm="1">
        <f t="array" ref="G2:I2">_xlfn.XLOOKUP($A2,Tagged_Batch!$A:$A,Tagged_Batch!$B:$D,"")</f>
        <v>Bug</v>
      </c>
      <c r="H2" s="3" t="str">
        <v>Tasks</v>
      </c>
      <c r="I2" s="3" t="str">
        <v>no</v>
      </c>
      <c r="J2" s="1" t="s">
        <v>298</v>
      </c>
    </row>
    <row r="3" spans="1:10" ht="53" x14ac:dyDescent="0.2">
      <c r="A3" s="3" t="str">
        <f>IF(F3="","",C3&amp;"_"&amp;TEXT(COUNTIFS($C$2:C3,C3,$F$2:F3,"&lt;&gt;"),"000"))</f>
        <v>AS_AU_002</v>
      </c>
      <c r="B3" s="3" t="s">
        <v>149</v>
      </c>
      <c r="C3" s="3" t="s">
        <v>150</v>
      </c>
      <c r="D3" s="10">
        <v>45996</v>
      </c>
      <c r="E3" s="3">
        <v>2</v>
      </c>
      <c r="F3" s="1" t="s">
        <v>141</v>
      </c>
      <c r="G3" s="3" t="str" cm="1">
        <f t="array" ref="G3:I3">_xlfn.XLOOKUP($A3,Tagged_Batch!$A:$A,Tagged_Batch!$B:$D,"")</f>
        <v>Bug</v>
      </c>
      <c r="H3" s="3" t="str">
        <v>Calendar</v>
      </c>
      <c r="I3" s="3" t="str">
        <v>no</v>
      </c>
      <c r="J3" s="1" t="s">
        <v>298</v>
      </c>
    </row>
    <row r="4" spans="1:10" ht="92" x14ac:dyDescent="0.2">
      <c r="A4" s="3" t="str">
        <f>IF(F4="","",C4&amp;"_"&amp;TEXT(COUNTIFS($C$2:C4,C4,$F$2:F4,"&lt;&gt;"),"000"))</f>
        <v>AS_AU_003</v>
      </c>
      <c r="B4" s="3" t="s">
        <v>149</v>
      </c>
      <c r="C4" s="3" t="s">
        <v>150</v>
      </c>
      <c r="D4" s="10">
        <v>45993</v>
      </c>
      <c r="E4" s="3">
        <v>1</v>
      </c>
      <c r="F4" s="1" t="s">
        <v>142</v>
      </c>
      <c r="G4" s="3" t="str" cm="1">
        <f t="array" ref="G4:I4">_xlfn.XLOOKUP($A4,Tagged_Batch!$A:$A,Tagged_Batch!$B:$D,"")</f>
        <v>Bug</v>
      </c>
      <c r="H4" s="3" t="str">
        <v>UI</v>
      </c>
      <c r="I4" s="3" t="str">
        <v>no</v>
      </c>
      <c r="J4" s="1" t="s">
        <v>298</v>
      </c>
    </row>
    <row r="5" spans="1:10" ht="53" x14ac:dyDescent="0.2">
      <c r="A5" s="3" t="str">
        <f>IF(F5="","",C5&amp;"_"&amp;TEXT(COUNTIFS($C$2:C5,C5,$F$2:F5,"&lt;&gt;"),"000"))</f>
        <v>AS_AU_004</v>
      </c>
      <c r="B5" s="3" t="s">
        <v>149</v>
      </c>
      <c r="C5" s="3" t="s">
        <v>150</v>
      </c>
      <c r="D5" s="10">
        <v>45953</v>
      </c>
      <c r="E5" s="3">
        <v>1</v>
      </c>
      <c r="F5" s="1" t="s">
        <v>143</v>
      </c>
      <c r="G5" s="3" t="str" cm="1">
        <f t="array" ref="G5:I5">_xlfn.XLOOKUP($A5,Tagged_Batch!$A:$A,Tagged_Batch!$B:$D,"")</f>
        <v>Subscription</v>
      </c>
      <c r="H5" s="3" t="str">
        <v>Refund</v>
      </c>
      <c r="I5" s="3" t="str">
        <v>yes</v>
      </c>
      <c r="J5" s="1" t="s">
        <v>298</v>
      </c>
    </row>
    <row r="6" spans="1:10" ht="40" x14ac:dyDescent="0.2">
      <c r="A6" s="3" t="str">
        <f>IF(F6="","",C6&amp;"_"&amp;TEXT(COUNTIFS($C$2:C6,C6,$F$2:F6,"&lt;&gt;"),"000"))</f>
        <v>AS_AU_005</v>
      </c>
      <c r="B6" s="3" t="s">
        <v>149</v>
      </c>
      <c r="C6" s="3" t="s">
        <v>150</v>
      </c>
      <c r="D6" s="10">
        <v>45946</v>
      </c>
      <c r="E6" s="3">
        <v>3</v>
      </c>
      <c r="F6" s="1" t="s">
        <v>145</v>
      </c>
      <c r="G6" s="3" t="str" cm="1">
        <f t="array" ref="G6:I6">_xlfn.XLOOKUP($A6,Tagged_Batch!$A:$A,Tagged_Batch!$B:$D,"")</f>
        <v>UI</v>
      </c>
      <c r="H6" s="3" t="str">
        <v>Clutter</v>
      </c>
      <c r="I6" s="3" t="str">
        <v>no</v>
      </c>
      <c r="J6" s="1" t="s">
        <v>298</v>
      </c>
    </row>
    <row r="7" spans="1:10" ht="27" x14ac:dyDescent="0.2">
      <c r="A7" s="3" t="str">
        <f>IF(F7="","",C7&amp;"_"&amp;TEXT(COUNTIFS($C$2:C7,C7,$F$2:F7,"&lt;&gt;"),"000"))</f>
        <v>AS_AU_006</v>
      </c>
      <c r="B7" s="3" t="s">
        <v>149</v>
      </c>
      <c r="C7" s="3" t="s">
        <v>150</v>
      </c>
      <c r="D7" s="10">
        <v>45881</v>
      </c>
      <c r="E7" s="3">
        <v>1</v>
      </c>
      <c r="F7" s="1" t="s">
        <v>146</v>
      </c>
      <c r="G7" s="3" t="str" cm="1">
        <f t="array" ref="G7:I7">_xlfn.XLOOKUP($A7,Tagged_Batch!$A:$A,Tagged_Batch!$B:$D,"")</f>
        <v>Other</v>
      </c>
      <c r="H7" s="3" t="str">
        <v>Uncategorized</v>
      </c>
      <c r="I7" s="3" t="str">
        <v>no</v>
      </c>
      <c r="J7" s="1" t="s">
        <v>298</v>
      </c>
    </row>
    <row r="8" spans="1:10" ht="79" x14ac:dyDescent="0.2">
      <c r="A8" s="3" t="str">
        <f>IF(F8="","",C8&amp;"_"&amp;TEXT(COUNTIFS($C$2:C8,C8,$F$2:F8,"&lt;&gt;"),"000"))</f>
        <v>AS_AU_007</v>
      </c>
      <c r="B8" s="3" t="s">
        <v>149</v>
      </c>
      <c r="C8" s="3" t="s">
        <v>150</v>
      </c>
      <c r="D8" s="10">
        <v>45845</v>
      </c>
      <c r="E8" s="3">
        <v>1</v>
      </c>
      <c r="F8" s="1" t="s">
        <v>147</v>
      </c>
      <c r="G8" s="3" t="str" cm="1">
        <f t="array" ref="G8:I8">_xlfn.XLOOKUP($A8,Tagged_Batch!$A:$A,Tagged_Batch!$B:$D,"")</f>
        <v>Subscription</v>
      </c>
      <c r="H8" s="3" t="str">
        <v>Paywall</v>
      </c>
      <c r="I8" s="3" t="str">
        <v>yes</v>
      </c>
      <c r="J8" s="1" t="s">
        <v>298</v>
      </c>
    </row>
    <row r="9" spans="1:10" ht="105" x14ac:dyDescent="0.2">
      <c r="A9" s="3" t="str">
        <f>IF(F9="","",C9&amp;"_"&amp;TEXT(COUNTIFS($C$2:C9,C9,$F$2:F9,"&lt;&gt;"),"000"))</f>
        <v>AS_AU_008</v>
      </c>
      <c r="B9" s="3" t="s">
        <v>149</v>
      </c>
      <c r="C9" s="3" t="s">
        <v>150</v>
      </c>
      <c r="D9" s="10">
        <v>45803</v>
      </c>
      <c r="E9" s="3">
        <v>1</v>
      </c>
      <c r="F9" s="1" t="s">
        <v>148</v>
      </c>
      <c r="G9" s="3" t="str" cm="1">
        <f t="array" ref="G9:I9">_xlfn.XLOOKUP($A9,Tagged_Batch!$A:$A,Tagged_Batch!$B:$D,"")</f>
        <v>UI</v>
      </c>
      <c r="H9" s="3" t="str">
        <v>Setup</v>
      </c>
      <c r="I9" s="3" t="str">
        <v>yes</v>
      </c>
      <c r="J9" s="1" t="s">
        <v>298</v>
      </c>
    </row>
    <row r="10" spans="1:10" x14ac:dyDescent="0.2">
      <c r="A10" s="3" t="str">
        <f>IF(F10="","",C10&amp;"_"&amp;TEXT(COUNTIFS($C$2:C10,C10,$F$2:F10,"&lt;&gt;"),"000"))</f>
        <v>AS_AU_009</v>
      </c>
      <c r="B10" s="3" t="s">
        <v>149</v>
      </c>
      <c r="C10" s="3" t="s">
        <v>150</v>
      </c>
      <c r="D10" s="10">
        <v>46002</v>
      </c>
      <c r="E10" s="3">
        <v>2</v>
      </c>
      <c r="F10" s="1" t="s">
        <v>151</v>
      </c>
      <c r="G10" s="3" t="str" cm="1">
        <f t="array" ref="G10:I10">_xlfn.XLOOKUP($A10,Tagged_Batch!$A:$A,Tagged_Batch!$B:$D,"")</f>
        <v>Subscription</v>
      </c>
      <c r="H10" s="3" t="str">
        <v>Paywall</v>
      </c>
      <c r="I10" s="3" t="str">
        <v>no</v>
      </c>
      <c r="J10" s="1" t="s">
        <v>298</v>
      </c>
    </row>
    <row r="11" spans="1:10" ht="53" x14ac:dyDescent="0.2">
      <c r="A11" s="3" t="str">
        <f>IF(F11="","",C11&amp;"_"&amp;TEXT(COUNTIFS($C$2:C11,C11,$F$2:F11,"&lt;&gt;"),"000"))</f>
        <v>AS_AU_010</v>
      </c>
      <c r="B11" s="3" t="s">
        <v>149</v>
      </c>
      <c r="C11" s="3" t="s">
        <v>150</v>
      </c>
      <c r="D11" s="10">
        <v>45996</v>
      </c>
      <c r="E11" s="3">
        <v>2</v>
      </c>
      <c r="F11" s="1" t="s">
        <v>141</v>
      </c>
      <c r="G11" s="3" t="str" cm="1">
        <f t="array" ref="G11:I11">_xlfn.XLOOKUP($A11,Tagged_Batch!$A:$A,Tagged_Batch!$B:$D,"")</f>
        <v>Performance</v>
      </c>
      <c r="H11" s="3" t="str">
        <v>Crash</v>
      </c>
      <c r="I11" s="3" t="str">
        <v>no</v>
      </c>
      <c r="J11" s="1" t="s">
        <v>298</v>
      </c>
    </row>
    <row r="12" spans="1:10" ht="66" x14ac:dyDescent="0.2">
      <c r="A12" s="3" t="str">
        <f>IF(F12="","",C12&amp;"_"&amp;TEXT(COUNTIFS($C$2:C12,C12,$F$2:F12,"&lt;&gt;"),"000"))</f>
        <v>AS_AU_011</v>
      </c>
      <c r="B12" s="3" t="s">
        <v>149</v>
      </c>
      <c r="C12" s="3" t="s">
        <v>150</v>
      </c>
      <c r="D12" s="10">
        <v>45947</v>
      </c>
      <c r="E12" s="3">
        <v>1</v>
      </c>
      <c r="F12" s="1" t="s">
        <v>144</v>
      </c>
      <c r="G12" s="3" t="str" cm="1">
        <f t="array" ref="G12:I12">_xlfn.XLOOKUP($A12,Tagged_Batch!$A:$A,Tagged_Batch!$B:$D,"")</f>
        <v>Bug</v>
      </c>
      <c r="H12" s="3" t="str">
        <v>Tasks</v>
      </c>
      <c r="I12" s="3" t="str">
        <v>yes</v>
      </c>
      <c r="J12" s="1" t="s">
        <v>298</v>
      </c>
    </row>
    <row r="13" spans="1:10" ht="105" x14ac:dyDescent="0.2">
      <c r="A13" s="3" t="str">
        <f>IF(F13="","",C13&amp;"_"&amp;TEXT(COUNTIFS($C$2:C13,C13,$F$2:F13,"&lt;&gt;"),"000"))</f>
        <v>AS_AU_012</v>
      </c>
      <c r="B13" s="3" t="s">
        <v>149</v>
      </c>
      <c r="C13" s="3" t="s">
        <v>150</v>
      </c>
      <c r="D13" s="10">
        <v>45803</v>
      </c>
      <c r="E13" s="3">
        <v>1</v>
      </c>
      <c r="F13" s="1" t="s">
        <v>148</v>
      </c>
      <c r="G13" s="3" t="str" cm="1">
        <f t="array" ref="G13:I13">_xlfn.XLOOKUP($A13,Tagged_Batch!$A:$A,Tagged_Batch!$B:$D,"")</f>
        <v>Subscription</v>
      </c>
      <c r="H13" s="3" t="str">
        <v>Paywall</v>
      </c>
      <c r="I13" s="3" t="str">
        <v>yes</v>
      </c>
      <c r="J13" s="1" t="s">
        <v>298</v>
      </c>
    </row>
    <row r="14" spans="1:10" ht="79" x14ac:dyDescent="0.2">
      <c r="A14" s="3" t="str">
        <f>IF(F14="","",C14&amp;"_"&amp;TEXT(COUNTIFS($C$2:C14,C14,$F$2:F14,"&lt;&gt;"),"000"))</f>
        <v>AS_NZ_001</v>
      </c>
      <c r="B14" s="3" t="s">
        <v>273</v>
      </c>
      <c r="C14" s="3" t="s">
        <v>274</v>
      </c>
      <c r="D14" s="10">
        <v>45909</v>
      </c>
      <c r="E14" s="3">
        <v>5</v>
      </c>
      <c r="F14" s="1" t="s">
        <v>271</v>
      </c>
      <c r="G14" s="3" t="str" cm="1">
        <f t="array" ref="G14:I14">_xlfn.XLOOKUP($A14,Tagged_Batch!$A:$A,Tagged_Batch!$B:$D,"")</f>
        <v>Feature_Request</v>
      </c>
      <c r="H14" s="3" t="str">
        <v>Routines</v>
      </c>
      <c r="I14" s="3" t="str">
        <v>no</v>
      </c>
      <c r="J14" s="1" t="s">
        <v>298</v>
      </c>
    </row>
    <row r="15" spans="1:10" ht="105" x14ac:dyDescent="0.2">
      <c r="A15" s="3" t="str">
        <f>IF(F15="","",C15&amp;"_"&amp;TEXT(COUNTIFS($C$2:C15,C15,$F$2:F15,"&lt;&gt;"),"000"))</f>
        <v>AS_NZ_002</v>
      </c>
      <c r="B15" s="3" t="s">
        <v>273</v>
      </c>
      <c r="C15" s="3" t="s">
        <v>274</v>
      </c>
      <c r="D15" s="10">
        <v>45712</v>
      </c>
      <c r="E15" s="3">
        <v>1</v>
      </c>
      <c r="F15" s="1" t="s">
        <v>272</v>
      </c>
      <c r="G15" s="3" t="str" cm="1">
        <f t="array" ref="G15:I15">_xlfn.XLOOKUP($A15,Tagged_Batch!$A:$A,Tagged_Batch!$B:$D,"")</f>
        <v>Feature_Request</v>
      </c>
      <c r="H15" s="3" t="str">
        <v>Routines</v>
      </c>
      <c r="I15" s="3" t="str">
        <v>yes</v>
      </c>
      <c r="J15" s="1" t="s">
        <v>298</v>
      </c>
    </row>
    <row r="16" spans="1:10" ht="27" x14ac:dyDescent="0.2">
      <c r="A16" s="3" t="str">
        <f>IF(F16="","",C16&amp;"_"&amp;TEXT(COUNTIFS($C$2:C16,C16,$F$2:F16,"&lt;&gt;"),"000"))</f>
        <v>AS_NZ_003</v>
      </c>
      <c r="B16" s="3" t="s">
        <v>273</v>
      </c>
      <c r="C16" s="3" t="s">
        <v>274</v>
      </c>
      <c r="D16" s="10">
        <v>46026</v>
      </c>
      <c r="E16" s="3">
        <v>1</v>
      </c>
      <c r="F16" s="1" t="s">
        <v>278</v>
      </c>
      <c r="G16" s="3" t="str" cm="1">
        <f t="array" ref="G16:I16">_xlfn.XLOOKUP($A16,Tagged_Batch!$A:$A,Tagged_Batch!$B:$D,"")</f>
        <v>Other</v>
      </c>
      <c r="H16" s="3" t="str">
        <v>Uncategorized</v>
      </c>
      <c r="I16" s="3" t="str">
        <v>yes</v>
      </c>
      <c r="J16" s="1" t="s">
        <v>298</v>
      </c>
    </row>
    <row r="17" spans="1:10" ht="27" x14ac:dyDescent="0.2">
      <c r="A17" s="3" t="str">
        <f>IF(F17="","",C17&amp;"_"&amp;TEXT(COUNTIFS($C$2:C17,C17,$F$2:F17,"&lt;&gt;"),"000"))</f>
        <v>AS_NZ_004</v>
      </c>
      <c r="B17" s="3" t="s">
        <v>273</v>
      </c>
      <c r="C17" s="3" t="s">
        <v>274</v>
      </c>
      <c r="D17" s="10">
        <v>46003</v>
      </c>
      <c r="E17" s="3">
        <v>1</v>
      </c>
      <c r="F17" s="1" t="s">
        <v>279</v>
      </c>
      <c r="G17" s="3" t="str" cm="1">
        <f t="array" ref="G17:I17">_xlfn.XLOOKUP($A17,Tagged_Batch!$A:$A,Tagged_Batch!$B:$D,"")</f>
        <v>Other</v>
      </c>
      <c r="H17" s="3" t="str">
        <v>Uncategorized</v>
      </c>
      <c r="I17" s="3" t="str">
        <v>no</v>
      </c>
      <c r="J17" s="1" t="s">
        <v>298</v>
      </c>
    </row>
    <row r="18" spans="1:10" ht="53" x14ac:dyDescent="0.2">
      <c r="A18" s="3" t="str">
        <f>IF(F18="","",C18&amp;"_"&amp;TEXT(COUNTIFS($C$2:C18,C18,$F$2:F18,"&lt;&gt;"),"000"))</f>
        <v>AS_UK_001</v>
      </c>
      <c r="B18" s="3" t="s">
        <v>159</v>
      </c>
      <c r="C18" s="3" t="s">
        <v>160</v>
      </c>
      <c r="D18" s="10">
        <v>46040</v>
      </c>
      <c r="E18" s="3">
        <v>1</v>
      </c>
      <c r="F18" s="1" t="s">
        <v>152</v>
      </c>
      <c r="G18" s="3" t="str" cm="1">
        <f t="array" ref="G18:I18">_xlfn.XLOOKUP($A18,Tagged_Batch!$A:$A,Tagged_Batch!$B:$D,"")</f>
        <v>UI</v>
      </c>
      <c r="H18" s="3" t="str">
        <v>Uncategorized</v>
      </c>
      <c r="I18" s="3" t="str">
        <v>no</v>
      </c>
      <c r="J18" s="1" t="s">
        <v>298</v>
      </c>
    </row>
    <row r="19" spans="1:10" ht="79" x14ac:dyDescent="0.2">
      <c r="A19" s="3" t="str">
        <f>IF(F19="","",C19&amp;"_"&amp;TEXT(COUNTIFS($C$2:C19,C19,$F$2:F19,"&lt;&gt;"),"000"))</f>
        <v>AS_UK_002</v>
      </c>
      <c r="B19" s="3" t="s">
        <v>159</v>
      </c>
      <c r="C19" s="3" t="s">
        <v>160</v>
      </c>
      <c r="D19" s="10">
        <v>46039</v>
      </c>
      <c r="E19" s="3">
        <v>2</v>
      </c>
      <c r="F19" s="1" t="s">
        <v>153</v>
      </c>
      <c r="G19" s="3" t="str" cm="1">
        <f t="array" ref="G19:I19">_xlfn.XLOOKUP($A19,Tagged_Batch!$A:$A,Tagged_Batch!$B:$D,"")</f>
        <v>Subscription</v>
      </c>
      <c r="H19" s="3" t="str">
        <v>Paywall</v>
      </c>
      <c r="I19" s="3" t="str">
        <v>no</v>
      </c>
      <c r="J19" s="1" t="s">
        <v>298</v>
      </c>
    </row>
    <row r="20" spans="1:10" ht="27" x14ac:dyDescent="0.2">
      <c r="A20" s="3" t="str">
        <f>IF(F20="","",C20&amp;"_"&amp;TEXT(COUNTIFS($C$2:C20,C20,$F$2:F20,"&lt;&gt;"),"000"))</f>
        <v>AS_UK_003</v>
      </c>
      <c r="B20" s="3" t="s">
        <v>159</v>
      </c>
      <c r="C20" s="3" t="s">
        <v>160</v>
      </c>
      <c r="D20" s="10">
        <v>46030</v>
      </c>
      <c r="E20" s="3">
        <v>1</v>
      </c>
      <c r="F20" s="1" t="s">
        <v>154</v>
      </c>
      <c r="G20" s="3" t="str" cm="1">
        <f t="array" ref="G20:I20">_xlfn.XLOOKUP($A20,Tagged_Batch!$A:$A,Tagged_Batch!$B:$D,"")</f>
        <v>UI</v>
      </c>
      <c r="H20" s="3" t="str">
        <v>Clutter</v>
      </c>
      <c r="I20" s="3" t="str">
        <v>yes</v>
      </c>
      <c r="J20" s="1" t="s">
        <v>298</v>
      </c>
    </row>
    <row r="21" spans="1:10" ht="53" x14ac:dyDescent="0.2">
      <c r="A21" s="3" t="str">
        <f>IF(F21="","",C21&amp;"_"&amp;TEXT(COUNTIFS($C$2:C21,C21,$F$2:F21,"&lt;&gt;"),"000"))</f>
        <v>AS_UK_004</v>
      </c>
      <c r="B21" s="3" t="s">
        <v>159</v>
      </c>
      <c r="C21" s="3" t="s">
        <v>160</v>
      </c>
      <c r="D21" s="10">
        <v>46030</v>
      </c>
      <c r="E21" s="3">
        <v>2</v>
      </c>
      <c r="F21" s="1" t="s">
        <v>155</v>
      </c>
      <c r="G21" s="3" t="str" cm="1">
        <f t="array" ref="G21:I21">_xlfn.XLOOKUP($A21,Tagged_Batch!$A:$A,Tagged_Batch!$B:$D,"")</f>
        <v>UI</v>
      </c>
      <c r="H21" s="3" t="str">
        <v>Setup</v>
      </c>
      <c r="I21" s="3" t="str">
        <v>no</v>
      </c>
      <c r="J21" s="1" t="s">
        <v>298</v>
      </c>
    </row>
    <row r="22" spans="1:10" ht="66" x14ac:dyDescent="0.2">
      <c r="A22" s="3" t="str">
        <f>IF(F22="","",C22&amp;"_"&amp;TEXT(COUNTIFS($C$2:C22,C22,$F$2:F22,"&lt;&gt;"),"000"))</f>
        <v>AS_UK_005</v>
      </c>
      <c r="B22" s="3" t="s">
        <v>159</v>
      </c>
      <c r="C22" s="3" t="s">
        <v>160</v>
      </c>
      <c r="D22" s="10">
        <v>45964</v>
      </c>
      <c r="E22" s="3">
        <v>2</v>
      </c>
      <c r="F22" s="1" t="s">
        <v>156</v>
      </c>
      <c r="G22" s="3" t="str" cm="1">
        <f t="array" ref="G22:I22">_xlfn.XLOOKUP($A22,Tagged_Batch!$A:$A,Tagged_Batch!$B:$D,"")</f>
        <v>Feature_Request</v>
      </c>
      <c r="H22" s="3" t="str">
        <v>Routines</v>
      </c>
      <c r="I22" s="3" t="str">
        <v>no</v>
      </c>
      <c r="J22" s="1" t="s">
        <v>298</v>
      </c>
    </row>
    <row r="23" spans="1:10" ht="92" x14ac:dyDescent="0.2">
      <c r="A23" s="3" t="str">
        <f>IF(F23="","",C23&amp;"_"&amp;TEXT(COUNTIFS($C$2:C23,C23,$F$2:F23,"&lt;&gt;"),"000"))</f>
        <v>AS_UK_006</v>
      </c>
      <c r="B23" s="3" t="s">
        <v>159</v>
      </c>
      <c r="C23" s="3" t="s">
        <v>160</v>
      </c>
      <c r="D23" s="10">
        <v>45778</v>
      </c>
      <c r="E23" s="3">
        <v>1</v>
      </c>
      <c r="F23" s="1" t="s">
        <v>157</v>
      </c>
      <c r="G23" s="3" t="str" cm="1">
        <f t="array" ref="G23:I23">_xlfn.XLOOKUP($A23,Tagged_Batch!$A:$A,Tagged_Batch!$B:$D,"")</f>
        <v>Feature_Request</v>
      </c>
      <c r="H23" s="3" t="str">
        <v>Routines</v>
      </c>
      <c r="I23" s="3" t="str">
        <v>no</v>
      </c>
      <c r="J23" s="1" t="s">
        <v>298</v>
      </c>
    </row>
    <row r="24" spans="1:10" ht="79" x14ac:dyDescent="0.2">
      <c r="A24" s="3" t="str">
        <f>IF(F24="","",C24&amp;"_"&amp;TEXT(COUNTIFS($C$2:C24,C24,$F$2:F24,"&lt;&gt;"),"000"))</f>
        <v>AS_UK_007</v>
      </c>
      <c r="B24" s="3" t="s">
        <v>159</v>
      </c>
      <c r="C24" s="3" t="s">
        <v>160</v>
      </c>
      <c r="D24" s="10">
        <v>45798</v>
      </c>
      <c r="E24" s="3">
        <v>1</v>
      </c>
      <c r="F24" s="1" t="s">
        <v>158</v>
      </c>
      <c r="G24" s="3" t="str" cm="1">
        <f t="array" ref="G24:I24">_xlfn.XLOOKUP($A24,Tagged_Batch!$A:$A,Tagged_Batch!$B:$D,"")</f>
        <v>Subscription</v>
      </c>
      <c r="H24" s="3" t="str">
        <v>Auto_Renew_Charge</v>
      </c>
      <c r="I24" s="3" t="str">
        <v>no</v>
      </c>
      <c r="J24" s="1" t="s">
        <v>298</v>
      </c>
    </row>
    <row r="25" spans="1:10" ht="66" x14ac:dyDescent="0.2">
      <c r="A25" s="3" t="str">
        <f>IF(F25="","",C25&amp;"_"&amp;TEXT(COUNTIFS($C$2:C25,C25,$F$2:F25,"&lt;&gt;"),"000"))</f>
        <v>AS_UK_008</v>
      </c>
      <c r="B25" s="3" t="s">
        <v>159</v>
      </c>
      <c r="C25" s="3" t="s">
        <v>160</v>
      </c>
      <c r="D25" s="10">
        <v>45765</v>
      </c>
      <c r="E25" s="3">
        <v>2</v>
      </c>
      <c r="F25" s="1" t="s">
        <v>161</v>
      </c>
      <c r="G25" s="3" t="str" cm="1">
        <f t="array" ref="G25:I25">_xlfn.XLOOKUP($A25,Tagged_Batch!$A:$A,Tagged_Batch!$B:$D,"")</f>
        <v>Feature_Request</v>
      </c>
      <c r="H25" s="3" t="str">
        <v>Routines</v>
      </c>
      <c r="I25" s="3" t="str">
        <v>yes</v>
      </c>
      <c r="J25" s="1" t="s">
        <v>298</v>
      </c>
    </row>
    <row r="26" spans="1:10" ht="79" x14ac:dyDescent="0.2">
      <c r="A26" s="3" t="str">
        <f>IF(F26="","",C26&amp;"_"&amp;TEXT(COUNTIFS($C$2:C26,C26,$F$2:F26,"&lt;&gt;"),"000"))</f>
        <v>AS_UK_009</v>
      </c>
      <c r="B26" s="3" t="s">
        <v>159</v>
      </c>
      <c r="C26" s="3" t="s">
        <v>160</v>
      </c>
      <c r="D26" s="10">
        <v>45738</v>
      </c>
      <c r="E26" s="3">
        <v>1</v>
      </c>
      <c r="F26" s="1" t="s">
        <v>162</v>
      </c>
      <c r="G26" s="3" t="str" cm="1">
        <f t="array" ref="G26:I26">_xlfn.XLOOKUP($A26,Tagged_Batch!$A:$A,Tagged_Batch!$B:$D,"")</f>
        <v>Feature_Request</v>
      </c>
      <c r="H26" s="3" t="str">
        <v>Routines</v>
      </c>
      <c r="I26" s="3" t="str">
        <v>no</v>
      </c>
      <c r="J26" s="1" t="s">
        <v>298</v>
      </c>
    </row>
    <row r="27" spans="1:10" ht="53" x14ac:dyDescent="0.2">
      <c r="A27" s="3" t="str">
        <f>IF(F27="","",C27&amp;"_"&amp;TEXT(COUNTIFS($C$2:C27,C27,$F$2:F27,"&lt;&gt;"),"000"))</f>
        <v>AS_UK_010</v>
      </c>
      <c r="B27" s="3" t="s">
        <v>159</v>
      </c>
      <c r="C27" s="3" t="s">
        <v>160</v>
      </c>
      <c r="D27" s="10">
        <v>45738</v>
      </c>
      <c r="E27" s="3">
        <v>1</v>
      </c>
      <c r="F27" s="1" t="s">
        <v>281</v>
      </c>
      <c r="G27" s="3" t="str" cm="1">
        <f t="array" ref="G27:I27">_xlfn.XLOOKUP($A27,Tagged_Batch!$A:$A,Tagged_Batch!$B:$D,"")</f>
        <v>Subscription</v>
      </c>
      <c r="H27" s="3" t="str">
        <v>Refund</v>
      </c>
      <c r="I27" s="3" t="str">
        <v>yes</v>
      </c>
      <c r="J27" s="1" t="s">
        <v>298</v>
      </c>
    </row>
    <row r="28" spans="1:10" ht="66" x14ac:dyDescent="0.2">
      <c r="A28" s="3" t="str">
        <f>IF(F28="","",C28&amp;"_"&amp;TEXT(COUNTIFS($C$2:C28,C28,$F$2:F28,"&lt;&gt;"),"000"))</f>
        <v>AS_UK_011</v>
      </c>
      <c r="B28" s="3" t="s">
        <v>159</v>
      </c>
      <c r="C28" s="3" t="s">
        <v>160</v>
      </c>
      <c r="D28" s="10">
        <v>45738</v>
      </c>
      <c r="E28" s="3">
        <v>1</v>
      </c>
      <c r="F28" s="1" t="s">
        <v>163</v>
      </c>
      <c r="G28" s="3" t="str" cm="1">
        <f t="array" ref="G28:I28">_xlfn.XLOOKUP($A28,Tagged_Batch!$A:$A,Tagged_Batch!$B:$D,"")</f>
        <v>Feature_Request</v>
      </c>
      <c r="H28" s="3" t="str">
        <v>Routines</v>
      </c>
      <c r="I28" s="3" t="str">
        <v>no</v>
      </c>
      <c r="J28" s="1" t="s">
        <v>298</v>
      </c>
    </row>
    <row r="29" spans="1:10" ht="79" x14ac:dyDescent="0.2">
      <c r="A29" s="3" t="str">
        <f>IF(F29="","",C29&amp;"_"&amp;TEXT(COUNTIFS($C$2:C29,C29,$F$2:F29,"&lt;&gt;"),"000"))</f>
        <v>AS_UK_012</v>
      </c>
      <c r="B29" s="3" t="s">
        <v>159</v>
      </c>
      <c r="C29" s="3" t="s">
        <v>160</v>
      </c>
      <c r="D29" s="10">
        <v>45727</v>
      </c>
      <c r="E29" s="3">
        <v>3</v>
      </c>
      <c r="F29" s="1" t="s">
        <v>164</v>
      </c>
      <c r="G29" s="3" t="str" cm="1">
        <f t="array" ref="G29:I29">_xlfn.XLOOKUP($A29,Tagged_Batch!$A:$A,Tagged_Batch!$B:$D,"")</f>
        <v>Feature_Request</v>
      </c>
      <c r="H29" s="3" t="str">
        <v>Routines</v>
      </c>
      <c r="I29" s="3" t="str">
        <v>no</v>
      </c>
      <c r="J29" s="1" t="s">
        <v>298</v>
      </c>
    </row>
    <row r="30" spans="1:10" ht="66" x14ac:dyDescent="0.2">
      <c r="A30" s="3" t="str">
        <f>IF(F30="","",C30&amp;"_"&amp;TEXT(COUNTIFS($C$2:C30,C30,$F$2:F30,"&lt;&gt;"),"000"))</f>
        <v>AS_UK_013</v>
      </c>
      <c r="B30" s="3" t="s">
        <v>159</v>
      </c>
      <c r="C30" s="3" t="s">
        <v>160</v>
      </c>
      <c r="D30" s="10">
        <v>45665</v>
      </c>
      <c r="E30" s="3">
        <v>1</v>
      </c>
      <c r="F30" s="1" t="s">
        <v>165</v>
      </c>
      <c r="G30" s="3" t="str" cm="1">
        <f t="array" ref="G30:I30">_xlfn.XLOOKUP($A30,Tagged_Batch!$A:$A,Tagged_Batch!$B:$D,"")</f>
        <v>Bug</v>
      </c>
      <c r="H30" s="3" t="str">
        <v>UI</v>
      </c>
      <c r="I30" s="3" t="str">
        <v>no</v>
      </c>
      <c r="J30" s="1" t="s">
        <v>298</v>
      </c>
    </row>
    <row r="31" spans="1:10" ht="40" x14ac:dyDescent="0.2">
      <c r="A31" s="3" t="str">
        <f>IF(F31="","",C31&amp;"_"&amp;TEXT(COUNTIFS($C$2:C31,C31,$F$2:F31,"&lt;&gt;"),"000"))</f>
        <v>AS_UK_014</v>
      </c>
      <c r="B31" s="3" t="s">
        <v>159</v>
      </c>
      <c r="C31" s="3" t="s">
        <v>160</v>
      </c>
      <c r="D31" s="10">
        <v>45955</v>
      </c>
      <c r="E31" s="3">
        <v>1</v>
      </c>
      <c r="F31" s="1" t="s">
        <v>166</v>
      </c>
      <c r="G31" s="3" t="str" cm="1">
        <f t="array" ref="G31:I31">_xlfn.XLOOKUP($A31,Tagged_Batch!$A:$A,Tagged_Batch!$B:$D,"")</f>
        <v>Bug</v>
      </c>
      <c r="H31" s="3" t="str">
        <v>UI</v>
      </c>
      <c r="I31" s="3" t="str">
        <v>no</v>
      </c>
      <c r="J31" s="1" t="s">
        <v>298</v>
      </c>
    </row>
    <row r="32" spans="1:10" ht="66" x14ac:dyDescent="0.2">
      <c r="A32" s="3" t="str">
        <f>IF(F32="","",C32&amp;"_"&amp;TEXT(COUNTIFS($C$2:C32,C32,$F$2:F32,"&lt;&gt;"),"000"))</f>
        <v>AS_UK_015</v>
      </c>
      <c r="B32" s="3" t="s">
        <v>159</v>
      </c>
      <c r="C32" s="3" t="s">
        <v>160</v>
      </c>
      <c r="D32" s="10">
        <v>45949</v>
      </c>
      <c r="E32" s="3">
        <v>2</v>
      </c>
      <c r="F32" s="1" t="s">
        <v>167</v>
      </c>
      <c r="G32" s="3" t="str" cm="1">
        <f t="array" ref="G32:I32">_xlfn.XLOOKUP($A32,Tagged_Batch!$A:$A,Tagged_Batch!$B:$D,"")</f>
        <v>Performance</v>
      </c>
      <c r="H32" s="3" t="str">
        <v>Crash</v>
      </c>
      <c r="I32" s="3" t="str">
        <v>yes</v>
      </c>
      <c r="J32" s="1" t="s">
        <v>298</v>
      </c>
    </row>
    <row r="33" spans="1:10" ht="40" x14ac:dyDescent="0.2">
      <c r="A33" s="3" t="str">
        <f>IF(F33="","",C33&amp;"_"&amp;TEXT(COUNTIFS($C$2:C33,C33,$F$2:F33,"&lt;&gt;"),"000"))</f>
        <v>AS_UK_016</v>
      </c>
      <c r="B33" s="3" t="s">
        <v>159</v>
      </c>
      <c r="C33" s="3" t="s">
        <v>160</v>
      </c>
      <c r="D33" s="10">
        <v>45946</v>
      </c>
      <c r="E33" s="3">
        <v>1</v>
      </c>
      <c r="F33" s="1" t="s">
        <v>168</v>
      </c>
      <c r="G33" s="3" t="str" cm="1">
        <f t="array" ref="G33:I33">_xlfn.XLOOKUP($A33,Tagged_Batch!$A:$A,Tagged_Batch!$B:$D,"")</f>
        <v>UI</v>
      </c>
      <c r="H33" s="3" t="str">
        <v>Uncategorized</v>
      </c>
      <c r="I33" s="3" t="str">
        <v>yes</v>
      </c>
      <c r="J33" s="1" t="s">
        <v>298</v>
      </c>
    </row>
    <row r="34" spans="1:10" x14ac:dyDescent="0.2">
      <c r="A34" s="3" t="str">
        <f>IF(F34="","",C34&amp;"_"&amp;TEXT(COUNTIFS($C$2:C34,C34,$F$2:F34,"&lt;&gt;"),"000"))</f>
        <v>AS_UK_017</v>
      </c>
      <c r="B34" s="3" t="s">
        <v>159</v>
      </c>
      <c r="C34" s="3" t="s">
        <v>160</v>
      </c>
      <c r="D34" s="10">
        <v>45944</v>
      </c>
      <c r="E34" s="3">
        <v>1</v>
      </c>
      <c r="F34" s="1" t="s">
        <v>169</v>
      </c>
      <c r="G34" s="3" t="str" cm="1">
        <f t="array" ref="G34:I34">_xlfn.XLOOKUP($A34,Tagged_Batch!$A:$A,Tagged_Batch!$B:$D,"")</f>
        <v>UI</v>
      </c>
      <c r="H34" s="3" t="str">
        <v>Uncategorized</v>
      </c>
      <c r="I34" s="3" t="str">
        <v>yes</v>
      </c>
      <c r="J34" s="1" t="s">
        <v>298</v>
      </c>
    </row>
    <row r="35" spans="1:10" ht="79" x14ac:dyDescent="0.2">
      <c r="A35" s="3" t="str">
        <f>IF(F35="","",C35&amp;"_"&amp;TEXT(COUNTIFS($C$2:C35,C35,$F$2:F35,"&lt;&gt;"),"000"))</f>
        <v>AS_UK_018</v>
      </c>
      <c r="B35" s="3" t="s">
        <v>159</v>
      </c>
      <c r="C35" s="3" t="s">
        <v>160</v>
      </c>
      <c r="D35" s="10">
        <v>45926</v>
      </c>
      <c r="E35" s="3">
        <v>1</v>
      </c>
      <c r="F35" s="1" t="s">
        <v>170</v>
      </c>
      <c r="G35" s="3" t="str" cm="1">
        <f t="array" ref="G35:I35">_xlfn.XLOOKUP($A35,Tagged_Batch!$A:$A,Tagged_Batch!$B:$D,"")</f>
        <v>Subscription</v>
      </c>
      <c r="H35" s="3" t="str">
        <v>Paywall</v>
      </c>
      <c r="I35" s="3" t="str">
        <v>yes</v>
      </c>
      <c r="J35" s="1" t="s">
        <v>298</v>
      </c>
    </row>
    <row r="36" spans="1:10" ht="53" x14ac:dyDescent="0.2">
      <c r="A36" s="3" t="str">
        <f>IF(F36="","",C36&amp;"_"&amp;TEXT(COUNTIFS($C$2:C36,C36,$F$2:F36,"&lt;&gt;"),"000"))</f>
        <v>AS_UK_019</v>
      </c>
      <c r="B36" s="3" t="s">
        <v>159</v>
      </c>
      <c r="C36" s="3" t="s">
        <v>160</v>
      </c>
      <c r="D36" s="10">
        <v>45857</v>
      </c>
      <c r="E36" s="3">
        <v>2</v>
      </c>
      <c r="F36" s="1" t="s">
        <v>171</v>
      </c>
      <c r="G36" s="3" t="str" cm="1">
        <f t="array" ref="G36:I36">_xlfn.XLOOKUP($A36,Tagged_Batch!$A:$A,Tagged_Batch!$B:$D,"")</f>
        <v>Subscription</v>
      </c>
      <c r="H36" s="3" t="str">
        <v>Paywall</v>
      </c>
      <c r="I36" s="3" t="str">
        <v>yes</v>
      </c>
      <c r="J36" s="1" t="s">
        <v>298</v>
      </c>
    </row>
    <row r="37" spans="1:10" ht="53" x14ac:dyDescent="0.2">
      <c r="A37" s="3" t="str">
        <f>IF(F37="","",C37&amp;"_"&amp;TEXT(COUNTIFS($C$2:C37,C37,$F$2:F37,"&lt;&gt;"),"000"))</f>
        <v>AS_UK_020</v>
      </c>
      <c r="B37" s="3" t="s">
        <v>159</v>
      </c>
      <c r="C37" s="3" t="s">
        <v>160</v>
      </c>
      <c r="D37" s="10">
        <v>45805</v>
      </c>
      <c r="E37" s="3">
        <v>2</v>
      </c>
      <c r="F37" s="1" t="s">
        <v>172</v>
      </c>
      <c r="G37" s="3" t="str" cm="1">
        <f t="array" ref="G37:I37">_xlfn.XLOOKUP($A37,Tagged_Batch!$A:$A,Tagged_Batch!$B:$D,"")</f>
        <v>Bug</v>
      </c>
      <c r="H37" s="3" t="str">
        <v>Uncategorized</v>
      </c>
      <c r="I37" s="3" t="str">
        <v>yes</v>
      </c>
      <c r="J37" s="1" t="s">
        <v>298</v>
      </c>
    </row>
    <row r="38" spans="1:10" ht="53" x14ac:dyDescent="0.2">
      <c r="A38" s="3" t="str">
        <f>IF(F38="","",C38&amp;"_"&amp;TEXT(COUNTIFS($C$2:C38,C38,$F$2:F38,"&lt;&gt;"),"000"))</f>
        <v>AS_UK_021</v>
      </c>
      <c r="B38" s="3" t="s">
        <v>159</v>
      </c>
      <c r="C38" s="3" t="s">
        <v>160</v>
      </c>
      <c r="D38" s="10">
        <v>46030</v>
      </c>
      <c r="E38" s="3">
        <v>2</v>
      </c>
      <c r="F38" s="1" t="s">
        <v>155</v>
      </c>
      <c r="G38" s="3" t="str" cm="1">
        <f t="array" ref="G38:I38">_xlfn.XLOOKUP($A38,Tagged_Batch!$A:$A,Tagged_Batch!$B:$D,"")</f>
        <v>UI</v>
      </c>
      <c r="H38" s="3" t="str">
        <v>Clutter</v>
      </c>
      <c r="I38" s="3" t="str">
        <v>no</v>
      </c>
      <c r="J38" s="1" t="s">
        <v>298</v>
      </c>
    </row>
    <row r="39" spans="1:10" ht="66" x14ac:dyDescent="0.2">
      <c r="A39" s="3" t="str">
        <f>IF(F39="","",C39&amp;"_"&amp;TEXT(COUNTIFS($C$2:C39,C39,$F$2:F39,"&lt;&gt;"),"000"))</f>
        <v>AS_UK_022</v>
      </c>
      <c r="B39" s="3" t="s">
        <v>159</v>
      </c>
      <c r="C39" s="3" t="s">
        <v>160</v>
      </c>
      <c r="D39" s="10">
        <v>45765</v>
      </c>
      <c r="E39" s="3">
        <v>2</v>
      </c>
      <c r="F39" s="1" t="s">
        <v>161</v>
      </c>
      <c r="G39" s="3" t="str" cm="1">
        <f t="array" ref="G39:I39">_xlfn.XLOOKUP($A39,Tagged_Batch!$A:$A,Tagged_Batch!$B:$D,"")</f>
        <v>Bug</v>
      </c>
      <c r="H39" s="3" t="str">
        <v>Notifications</v>
      </c>
      <c r="I39" s="3" t="str">
        <v>yes</v>
      </c>
      <c r="J39" s="1" t="s">
        <v>298</v>
      </c>
    </row>
    <row r="40" spans="1:10" ht="66" x14ac:dyDescent="0.2">
      <c r="A40" s="3" t="str">
        <f>IF(F40="","",C40&amp;"_"&amp;TEXT(COUNTIFS($C$2:C40,C40,$F$2:F40,"&lt;&gt;"),"000"))</f>
        <v>AS_UK_023</v>
      </c>
      <c r="B40" s="3" t="s">
        <v>159</v>
      </c>
      <c r="C40" s="3" t="s">
        <v>160</v>
      </c>
      <c r="D40" s="10">
        <v>45665</v>
      </c>
      <c r="E40" s="3">
        <v>1</v>
      </c>
      <c r="F40" s="1" t="s">
        <v>165</v>
      </c>
      <c r="G40" s="3" t="str" cm="1">
        <f t="array" ref="G40:I40">_xlfn.XLOOKUP($A40,Tagged_Batch!$A:$A,Tagged_Batch!$B:$D,"")</f>
        <v>Bug</v>
      </c>
      <c r="H40" s="3" t="str">
        <v>Calendar</v>
      </c>
      <c r="I40" s="3" t="str">
        <v>no</v>
      </c>
      <c r="J40" s="1" t="s">
        <v>298</v>
      </c>
    </row>
    <row r="41" spans="1:10" ht="66" x14ac:dyDescent="0.2">
      <c r="A41" s="3" t="str">
        <f>IF(F41="","",C41&amp;"_"&amp;TEXT(COUNTIFS($C$2:C41,C41,$F$2:F41,"&lt;&gt;"),"000"))</f>
        <v>AS_UK_024</v>
      </c>
      <c r="B41" s="3" t="s">
        <v>159</v>
      </c>
      <c r="C41" s="3" t="s">
        <v>160</v>
      </c>
      <c r="D41" s="10">
        <v>45949</v>
      </c>
      <c r="E41" s="3">
        <v>2</v>
      </c>
      <c r="F41" s="1" t="s">
        <v>167</v>
      </c>
      <c r="G41" s="3" t="str" cm="1">
        <f t="array" ref="G41:I41">_xlfn.XLOOKUP($A41,Tagged_Batch!$A:$A,Tagged_Batch!$B:$D,"")</f>
        <v>Bug</v>
      </c>
      <c r="H41" s="3" t="str">
        <v>Calendar</v>
      </c>
      <c r="I41" s="3" t="str">
        <v>yes</v>
      </c>
      <c r="J41" s="1" t="s">
        <v>298</v>
      </c>
    </row>
    <row r="42" spans="1:10" ht="66" x14ac:dyDescent="0.2">
      <c r="A42" s="3" t="str">
        <f>IF(F42="","",C42&amp;"_"&amp;TEXT(COUNTIFS($C$2:C42,C42,$F$2:F42,"&lt;&gt;"),"000"))</f>
        <v>AS_UK_025</v>
      </c>
      <c r="B42" s="3" t="s">
        <v>159</v>
      </c>
      <c r="C42" s="3" t="s">
        <v>160</v>
      </c>
      <c r="D42" s="10">
        <v>45949</v>
      </c>
      <c r="E42" s="3">
        <v>2</v>
      </c>
      <c r="F42" s="1" t="s">
        <v>167</v>
      </c>
      <c r="G42" s="3" t="str" cm="1">
        <f t="array" ref="G42:I42">_xlfn.XLOOKUP($A42,Tagged_Batch!$A:$A,Tagged_Batch!$B:$D,"")</f>
        <v>Bug</v>
      </c>
      <c r="H42" s="3" t="str">
        <v>Uncategorized</v>
      </c>
      <c r="I42" s="3" t="str">
        <v>yes</v>
      </c>
      <c r="J42" s="1" t="s">
        <v>298</v>
      </c>
    </row>
    <row r="43" spans="1:10" ht="79" x14ac:dyDescent="0.2">
      <c r="A43" s="3" t="str">
        <f>IF(F43="","",C43&amp;"_"&amp;TEXT(COUNTIFS($C$2:C43,C43,$F$2:F43,"&lt;&gt;"),"000"))</f>
        <v>AS_US_001</v>
      </c>
      <c r="B43" s="3" t="s">
        <v>138</v>
      </c>
      <c r="C43" s="3" t="s">
        <v>139</v>
      </c>
      <c r="D43" s="10">
        <v>46037</v>
      </c>
      <c r="E43" s="3">
        <v>1</v>
      </c>
      <c r="F43" s="2" t="s">
        <v>80</v>
      </c>
      <c r="G43" s="3" t="str" cm="1">
        <f t="array" ref="G43:I43">_xlfn.XLOOKUP($A43,Tagged_Batch!$A:$A,Tagged_Batch!$B:$D,"")</f>
        <v>Subscription</v>
      </c>
      <c r="H43" s="3" t="str">
        <v>Refund</v>
      </c>
      <c r="I43" s="3" t="str">
        <v>yes</v>
      </c>
      <c r="J43" s="1" t="s">
        <v>298</v>
      </c>
    </row>
    <row r="44" spans="1:10" ht="53" x14ac:dyDescent="0.2">
      <c r="A44" s="3" t="str">
        <f>IF(F44="","",C44&amp;"_"&amp;TEXT(COUNTIFS($C$2:C44,C44,$F$2:F44,"&lt;&gt;"),"000"))</f>
        <v>AS_US_002</v>
      </c>
      <c r="B44" s="3" t="s">
        <v>138</v>
      </c>
      <c r="C44" s="3" t="s">
        <v>139</v>
      </c>
      <c r="D44" s="10">
        <v>46027</v>
      </c>
      <c r="E44" s="3">
        <v>1</v>
      </c>
      <c r="F44" s="2" t="s">
        <v>81</v>
      </c>
      <c r="G44" s="3" t="str" cm="1">
        <f t="array" ref="G44:I44">_xlfn.XLOOKUP($A44,Tagged_Batch!$A:$A,Tagged_Batch!$B:$D,"")</f>
        <v>Subscription</v>
      </c>
      <c r="H44" s="3" t="str">
        <v>Uncategorized</v>
      </c>
      <c r="I44" s="3" t="str">
        <v>no</v>
      </c>
      <c r="J44" s="1" t="s">
        <v>298</v>
      </c>
    </row>
    <row r="45" spans="1:10" ht="92" x14ac:dyDescent="0.2">
      <c r="A45" s="3" t="str">
        <f>IF(F45="","",C45&amp;"_"&amp;TEXT(COUNTIFS($C$2:C45,C45,$F$2:F45,"&lt;&gt;"),"000"))</f>
        <v>AS_US_003</v>
      </c>
      <c r="B45" s="3" t="s">
        <v>138</v>
      </c>
      <c r="C45" s="3" t="s">
        <v>139</v>
      </c>
      <c r="D45" s="10">
        <v>45910</v>
      </c>
      <c r="E45" s="3">
        <v>3</v>
      </c>
      <c r="F45" s="2" t="s">
        <v>82</v>
      </c>
      <c r="G45" s="3" t="str" cm="1">
        <f t="array" ref="G45:I45">_xlfn.XLOOKUP($A45,Tagged_Batch!$A:$A,Tagged_Batch!$B:$D,"")</f>
        <v>Integrations</v>
      </c>
      <c r="H45" s="3" t="str">
        <v>Apple_Watch</v>
      </c>
      <c r="I45" s="3" t="str">
        <v>no</v>
      </c>
      <c r="J45" s="1" t="s">
        <v>298</v>
      </c>
    </row>
    <row r="46" spans="1:10" ht="40" x14ac:dyDescent="0.2">
      <c r="A46" s="3" t="str">
        <f>IF(F46="","",C46&amp;"_"&amp;TEXT(COUNTIFS($C$2:C46,C46,$F$2:F46,"&lt;&gt;"),"000"))</f>
        <v>AS_US_004</v>
      </c>
      <c r="B46" s="3" t="s">
        <v>138</v>
      </c>
      <c r="C46" s="3" t="s">
        <v>139</v>
      </c>
      <c r="D46" s="10">
        <v>46037</v>
      </c>
      <c r="E46" s="3">
        <v>1</v>
      </c>
      <c r="F46" s="2" t="s">
        <v>83</v>
      </c>
      <c r="G46" s="3" t="str" cm="1">
        <f t="array" ref="G46:I46">_xlfn.XLOOKUP($A46,Tagged_Batch!$A:$A,Tagged_Batch!$B:$D,"")</f>
        <v>Bug</v>
      </c>
      <c r="H46" s="3" t="str">
        <v>Calendar</v>
      </c>
      <c r="I46" s="3" t="str">
        <v>no</v>
      </c>
      <c r="J46" s="1" t="s">
        <v>298</v>
      </c>
    </row>
    <row r="47" spans="1:10" ht="40" x14ac:dyDescent="0.2">
      <c r="A47" s="3" t="str">
        <f>IF(F47="","",C47&amp;"_"&amp;TEXT(COUNTIFS($C$2:C47,C47,$F$2:F47,"&lt;&gt;"),"000"))</f>
        <v>AS_US_005</v>
      </c>
      <c r="B47" s="3" t="s">
        <v>138</v>
      </c>
      <c r="C47" s="3" t="s">
        <v>139</v>
      </c>
      <c r="D47" s="10">
        <v>46030</v>
      </c>
      <c r="E47" s="3">
        <v>1</v>
      </c>
      <c r="F47" s="2" t="s">
        <v>102</v>
      </c>
      <c r="G47" s="3" t="str" cm="1">
        <f t="array" ref="G47:I47">_xlfn.XLOOKUP($A47,Tagged_Batch!$A:$A,Tagged_Batch!$B:$D,"")</f>
        <v>Integrations</v>
      </c>
      <c r="H47" s="3" t="str">
        <v>Google_Calendar</v>
      </c>
      <c r="I47" s="3" t="str">
        <v>yes</v>
      </c>
      <c r="J47" s="1" t="s">
        <v>298</v>
      </c>
    </row>
    <row r="48" spans="1:10" ht="27" x14ac:dyDescent="0.2">
      <c r="A48" s="3" t="str">
        <f>IF(F48="","",C48&amp;"_"&amp;TEXT(COUNTIFS($C$2:C48,C48,$F$2:F48,"&lt;&gt;"),"000"))</f>
        <v>AS_US_006</v>
      </c>
      <c r="B48" s="3" t="s">
        <v>138</v>
      </c>
      <c r="C48" s="3" t="s">
        <v>139</v>
      </c>
      <c r="D48" s="10">
        <v>46031</v>
      </c>
      <c r="E48" s="3">
        <v>3</v>
      </c>
      <c r="F48" s="2" t="s">
        <v>84</v>
      </c>
      <c r="G48" s="3" t="str" cm="1">
        <f t="array" ref="G48:I48">_xlfn.XLOOKUP($A48,Tagged_Batch!$A:$A,Tagged_Batch!$B:$D,"")</f>
        <v>Other</v>
      </c>
      <c r="H48" s="3" t="str">
        <v>Uncategorized</v>
      </c>
      <c r="I48" s="3" t="str">
        <v>no</v>
      </c>
      <c r="J48" s="1" t="s">
        <v>298</v>
      </c>
    </row>
    <row r="49" spans="1:10" ht="40" x14ac:dyDescent="0.2">
      <c r="A49" s="3" t="str">
        <f>IF(F49="","",C49&amp;"_"&amp;TEXT(COUNTIFS($C$2:C49,C49,$F$2:F49,"&lt;&gt;"),"000"))</f>
        <v>AS_US_007</v>
      </c>
      <c r="B49" s="3" t="s">
        <v>138</v>
      </c>
      <c r="C49" s="3" t="s">
        <v>139</v>
      </c>
      <c r="D49" s="10">
        <v>46028</v>
      </c>
      <c r="E49" s="3">
        <v>3</v>
      </c>
      <c r="F49" s="2" t="s">
        <v>103</v>
      </c>
      <c r="G49" s="3" t="str" cm="1">
        <f t="array" ref="G49:I49">_xlfn.XLOOKUP($A49,Tagged_Batch!$A:$A,Tagged_Batch!$B:$D,"")</f>
        <v>Integrations</v>
      </c>
      <c r="H49" s="3" t="str">
        <v>Apple_Watch</v>
      </c>
      <c r="I49" s="3" t="str">
        <v>no</v>
      </c>
      <c r="J49" s="1" t="s">
        <v>298</v>
      </c>
    </row>
    <row r="50" spans="1:10" ht="131" x14ac:dyDescent="0.2">
      <c r="A50" s="3" t="str">
        <f>IF(F50="","",C50&amp;"_"&amp;TEXT(COUNTIFS($C$2:C50,C50,$F$2:F50,"&lt;&gt;"),"000"))</f>
        <v>AS_US_008</v>
      </c>
      <c r="B50" s="3" t="s">
        <v>138</v>
      </c>
      <c r="C50" s="3" t="s">
        <v>139</v>
      </c>
      <c r="D50" s="10">
        <v>46026</v>
      </c>
      <c r="E50" s="3">
        <v>3</v>
      </c>
      <c r="F50" s="2" t="s">
        <v>85</v>
      </c>
      <c r="G50" s="3" t="str" cm="1">
        <f t="array" ref="G50:I50">_xlfn.XLOOKUP($A50,Tagged_Batch!$A:$A,Tagged_Batch!$B:$D,"")</f>
        <v>Bug</v>
      </c>
      <c r="H50" s="3" t="str">
        <v>Uncategorized</v>
      </c>
      <c r="I50" s="3" t="str">
        <v>yes</v>
      </c>
      <c r="J50" s="1" t="s">
        <v>298</v>
      </c>
    </row>
    <row r="51" spans="1:10" ht="79" x14ac:dyDescent="0.2">
      <c r="A51" s="3" t="str">
        <f>IF(F51="","",C51&amp;"_"&amp;TEXT(COUNTIFS($C$2:C51,C51,$F$2:F51,"&lt;&gt;"),"000"))</f>
        <v>AS_US_009</v>
      </c>
      <c r="B51" s="3" t="s">
        <v>138</v>
      </c>
      <c r="C51" s="3" t="s">
        <v>139</v>
      </c>
      <c r="D51" s="10">
        <v>46025</v>
      </c>
      <c r="E51" s="3">
        <v>2</v>
      </c>
      <c r="F51" s="2" t="s">
        <v>86</v>
      </c>
      <c r="G51" s="3" t="str" cm="1">
        <f t="array" ref="G51:I51">_xlfn.XLOOKUP($A51,Tagged_Batch!$A:$A,Tagged_Batch!$B:$D,"")</f>
        <v>Integrations</v>
      </c>
      <c r="H51" s="3" t="str">
        <v>Android</v>
      </c>
      <c r="I51" s="3" t="str">
        <v>no</v>
      </c>
      <c r="J51" s="1" t="s">
        <v>298</v>
      </c>
    </row>
    <row r="52" spans="1:10" ht="27" x14ac:dyDescent="0.2">
      <c r="A52" s="3" t="str">
        <f>IF(F52="","",C52&amp;"_"&amp;TEXT(COUNTIFS($C$2:C52,C52,$F$2:F52,"&lt;&gt;"),"000"))</f>
        <v>AS_US_010</v>
      </c>
      <c r="B52" s="3" t="s">
        <v>138</v>
      </c>
      <c r="C52" s="3" t="s">
        <v>139</v>
      </c>
      <c r="D52" s="10">
        <v>45915</v>
      </c>
      <c r="E52" s="3">
        <v>1</v>
      </c>
      <c r="F52" s="2" t="s">
        <v>87</v>
      </c>
      <c r="G52" s="3" t="str" cm="1">
        <f t="array" ref="G52:I52">_xlfn.XLOOKUP($A52,Tagged_Batch!$A:$A,Tagged_Batch!$B:$D,"")</f>
        <v>Other</v>
      </c>
      <c r="H52" s="3" t="str">
        <v>Uncategorized</v>
      </c>
      <c r="I52" s="3" t="str">
        <v>no</v>
      </c>
      <c r="J52" s="1" t="s">
        <v>298</v>
      </c>
    </row>
    <row r="53" spans="1:10" ht="66" x14ac:dyDescent="0.2">
      <c r="A53" s="3" t="str">
        <f>IF(F53="","",C53&amp;"_"&amp;TEXT(COUNTIFS($C$2:C53,C53,$F$2:F53,"&lt;&gt;"),"000"))</f>
        <v>AS_US_011</v>
      </c>
      <c r="B53" s="3" t="s">
        <v>138</v>
      </c>
      <c r="C53" s="3" t="s">
        <v>139</v>
      </c>
      <c r="D53" s="10">
        <v>45919</v>
      </c>
      <c r="E53" s="3">
        <v>1</v>
      </c>
      <c r="F53" s="2" t="s">
        <v>88</v>
      </c>
      <c r="G53" s="3" t="str" cm="1">
        <f t="array" ref="G53:I53">_xlfn.XLOOKUP($A53,Tagged_Batch!$A:$A,Tagged_Batch!$B:$D,"")</f>
        <v>Feature_Request</v>
      </c>
      <c r="H53" s="3" t="str">
        <v>Routines</v>
      </c>
      <c r="I53" s="3" t="str">
        <v>no</v>
      </c>
      <c r="J53" s="1" t="s">
        <v>298</v>
      </c>
    </row>
    <row r="54" spans="1:10" ht="66" x14ac:dyDescent="0.2">
      <c r="A54" s="3" t="str">
        <f>IF(F54="","",C54&amp;"_"&amp;TEXT(COUNTIFS($C$2:C54,C54,$F$2:F54,"&lt;&gt;"),"000"))</f>
        <v>AS_US_012</v>
      </c>
      <c r="B54" s="3" t="s">
        <v>138</v>
      </c>
      <c r="C54" s="3" t="s">
        <v>139</v>
      </c>
      <c r="D54" s="10">
        <v>45872</v>
      </c>
      <c r="E54" s="3">
        <v>2</v>
      </c>
      <c r="F54" s="2" t="s">
        <v>89</v>
      </c>
      <c r="G54" s="3" t="str" cm="1">
        <f t="array" ref="G54:I54">_xlfn.XLOOKUP($A54,Tagged_Batch!$A:$A,Tagged_Batch!$B:$D,"")</f>
        <v>Feature_Request</v>
      </c>
      <c r="H54" s="3" t="str">
        <v>Routines</v>
      </c>
      <c r="I54" s="3" t="str">
        <v>no</v>
      </c>
      <c r="J54" s="1" t="s">
        <v>298</v>
      </c>
    </row>
    <row r="55" spans="1:10" ht="79" x14ac:dyDescent="0.2">
      <c r="A55" s="3" t="str">
        <f>IF(F55="","",C55&amp;"_"&amp;TEXT(COUNTIFS($C$2:C55,C55,$F$2:F55,"&lt;&gt;"),"000"))</f>
        <v>AS_US_013</v>
      </c>
      <c r="B55" s="3" t="s">
        <v>138</v>
      </c>
      <c r="C55" s="3" t="s">
        <v>139</v>
      </c>
      <c r="D55" s="10">
        <v>45855</v>
      </c>
      <c r="E55" s="3">
        <v>1</v>
      </c>
      <c r="F55" s="2" t="s">
        <v>90</v>
      </c>
      <c r="G55" s="3" t="str" cm="1">
        <f t="array" ref="G55:I55">_xlfn.XLOOKUP($A55,Tagged_Batch!$A:$A,Tagged_Batch!$B:$D,"")</f>
        <v>Feature_Request</v>
      </c>
      <c r="H55" s="3" t="str">
        <v>Routines</v>
      </c>
      <c r="I55" s="3" t="str">
        <v>yes</v>
      </c>
      <c r="J55" s="1" t="s">
        <v>298</v>
      </c>
    </row>
    <row r="56" spans="1:10" ht="27" x14ac:dyDescent="0.2">
      <c r="A56" s="3" t="str">
        <f>IF(F56="","",C56&amp;"_"&amp;TEXT(COUNTIFS($C$2:C56,C56,$F$2:F56,"&lt;&gt;"),"000"))</f>
        <v>AS_US_014</v>
      </c>
      <c r="B56" s="3" t="s">
        <v>138</v>
      </c>
      <c r="C56" s="3" t="s">
        <v>139</v>
      </c>
      <c r="D56" s="10">
        <v>45853</v>
      </c>
      <c r="E56" s="3">
        <v>4</v>
      </c>
      <c r="F56" s="2" t="s">
        <v>91</v>
      </c>
      <c r="G56" s="3" t="str" cm="1">
        <f t="array" ref="G56:I56">_xlfn.XLOOKUP($A56,Tagged_Batch!$A:$A,Tagged_Batch!$B:$D,"")</f>
        <v>Feature_Request</v>
      </c>
      <c r="H56" s="3" t="str">
        <v>Alerts</v>
      </c>
      <c r="I56" s="3" t="str">
        <v>no</v>
      </c>
      <c r="J56" s="1" t="s">
        <v>298</v>
      </c>
    </row>
    <row r="57" spans="1:10" ht="53" x14ac:dyDescent="0.2">
      <c r="A57" s="3" t="str">
        <f>IF(F57="","",C57&amp;"_"&amp;TEXT(COUNTIFS($C$2:C57,C57,$F$2:F57,"&lt;&gt;"),"000"))</f>
        <v>AS_US_015</v>
      </c>
      <c r="B57" s="3" t="s">
        <v>138</v>
      </c>
      <c r="C57" s="3" t="s">
        <v>139</v>
      </c>
      <c r="D57" s="10">
        <v>45845</v>
      </c>
      <c r="E57" s="3">
        <v>1</v>
      </c>
      <c r="F57" s="2" t="s">
        <v>92</v>
      </c>
      <c r="G57" s="3" t="str" cm="1">
        <f t="array" ref="G57:I57">_xlfn.XLOOKUP($A57,Tagged_Batch!$A:$A,Tagged_Batch!$B:$D,"")</f>
        <v>Integrations</v>
      </c>
      <c r="H57" s="3" t="str">
        <v>Google_Calendar</v>
      </c>
      <c r="I57" s="3" t="str">
        <v>no</v>
      </c>
      <c r="J57" s="1" t="s">
        <v>298</v>
      </c>
    </row>
    <row r="58" spans="1:10" ht="53" x14ac:dyDescent="0.2">
      <c r="A58" s="3" t="str">
        <f>IF(F58="","",C58&amp;"_"&amp;TEXT(COUNTIFS($C$2:C58,C58,$F$2:F58,"&lt;&gt;"),"000"))</f>
        <v>AS_US_016</v>
      </c>
      <c r="B58" s="3" t="s">
        <v>138</v>
      </c>
      <c r="C58" s="3" t="s">
        <v>139</v>
      </c>
      <c r="D58" s="10">
        <v>45722</v>
      </c>
      <c r="E58" s="3">
        <v>1</v>
      </c>
      <c r="F58" s="2" t="s">
        <v>93</v>
      </c>
      <c r="G58" s="3" t="str" cm="1">
        <f t="array" ref="G58:I58">_xlfn.XLOOKUP($A58,Tagged_Batch!$A:$A,Tagged_Batch!$B:$D,"")</f>
        <v>Subscription</v>
      </c>
      <c r="H58" s="3" t="str">
        <v>Paywall</v>
      </c>
      <c r="I58" s="3" t="str">
        <v>no</v>
      </c>
      <c r="J58" s="1" t="s">
        <v>298</v>
      </c>
    </row>
    <row r="59" spans="1:10" ht="66" x14ac:dyDescent="0.2">
      <c r="A59" s="3" t="str">
        <f>IF(F59="","",C59&amp;"_"&amp;TEXT(COUNTIFS($C$2:C59,C59,$F$2:F59,"&lt;&gt;"),"000"))</f>
        <v>AS_US_017</v>
      </c>
      <c r="B59" s="3" t="s">
        <v>138</v>
      </c>
      <c r="C59" s="3" t="s">
        <v>139</v>
      </c>
      <c r="D59" s="10">
        <v>45804</v>
      </c>
      <c r="E59" s="3">
        <v>1</v>
      </c>
      <c r="F59" s="2" t="s">
        <v>94</v>
      </c>
      <c r="G59" s="3" t="str" cm="1">
        <f t="array" ref="G59:I59">_xlfn.XLOOKUP($A59,Tagged_Batch!$A:$A,Tagged_Batch!$B:$D,"")</f>
        <v>Feature_Request</v>
      </c>
      <c r="H59" s="3" t="str">
        <v>Routines</v>
      </c>
      <c r="I59" s="3" t="str">
        <v>no</v>
      </c>
      <c r="J59" s="1" t="s">
        <v>298</v>
      </c>
    </row>
    <row r="60" spans="1:10" ht="66" x14ac:dyDescent="0.2">
      <c r="A60" s="3" t="str">
        <f>IF(F60="","",C60&amp;"_"&amp;TEXT(COUNTIFS($C$2:C60,C60,$F$2:F60,"&lt;&gt;"),"000"))</f>
        <v>AS_US_018</v>
      </c>
      <c r="B60" s="3" t="s">
        <v>138</v>
      </c>
      <c r="C60" s="3" t="s">
        <v>139</v>
      </c>
      <c r="D60" s="10">
        <v>45782</v>
      </c>
      <c r="E60" s="3">
        <v>2</v>
      </c>
      <c r="F60" s="2" t="s">
        <v>95</v>
      </c>
      <c r="G60" s="3" t="str" cm="1">
        <f t="array" ref="G60:I60">_xlfn.XLOOKUP($A60,Tagged_Batch!$A:$A,Tagged_Batch!$B:$D,"")</f>
        <v>Feature_Request</v>
      </c>
      <c r="H60" s="3" t="str">
        <v>Routines</v>
      </c>
      <c r="I60" s="3" t="str">
        <v>no</v>
      </c>
      <c r="J60" s="1" t="s">
        <v>298</v>
      </c>
    </row>
    <row r="61" spans="1:10" ht="118" x14ac:dyDescent="0.2">
      <c r="A61" s="3" t="str">
        <f>IF(F61="","",C61&amp;"_"&amp;TEXT(COUNTIFS($C$2:C61,C61,$F$2:F61,"&lt;&gt;"),"000"))</f>
        <v>AS_US_019</v>
      </c>
      <c r="B61" s="3" t="s">
        <v>138</v>
      </c>
      <c r="C61" s="3" t="s">
        <v>139</v>
      </c>
      <c r="D61" s="11">
        <v>45761</v>
      </c>
      <c r="E61" s="3">
        <v>1</v>
      </c>
      <c r="F61" s="1" t="s">
        <v>96</v>
      </c>
      <c r="G61" s="3" t="str" cm="1">
        <f t="array" ref="G61:I61">_xlfn.XLOOKUP($A61,Tagged_Batch!$A:$A,Tagged_Batch!$B:$D,"")</f>
        <v>Feature_Request</v>
      </c>
      <c r="H61" s="3" t="str">
        <v>Routines</v>
      </c>
      <c r="I61" s="3" t="str">
        <v>no</v>
      </c>
      <c r="J61" s="1" t="s">
        <v>298</v>
      </c>
    </row>
    <row r="62" spans="1:10" ht="131" x14ac:dyDescent="0.2">
      <c r="A62" s="3" t="str">
        <f>IF(F62="","",C62&amp;"_"&amp;TEXT(COUNTIFS($C$2:C62,C62,$F$2:F62,"&lt;&gt;"),"000"))</f>
        <v>AS_US_020</v>
      </c>
      <c r="B62" s="3" t="s">
        <v>138</v>
      </c>
      <c r="C62" s="3" t="s">
        <v>139</v>
      </c>
      <c r="D62" s="10">
        <v>45813</v>
      </c>
      <c r="E62" s="3">
        <v>3</v>
      </c>
      <c r="F62" s="1" t="s">
        <v>105</v>
      </c>
      <c r="G62" s="3" t="str" cm="1">
        <f t="array" ref="G62:I62">_xlfn.XLOOKUP($A62,Tagged_Batch!$A:$A,Tagged_Batch!$B:$D,"")</f>
        <v>Bug</v>
      </c>
      <c r="H62" s="3" t="str">
        <v>UI</v>
      </c>
      <c r="I62" s="3" t="str">
        <v>yes</v>
      </c>
      <c r="J62" s="1" t="s">
        <v>298</v>
      </c>
    </row>
    <row r="63" spans="1:10" ht="53" x14ac:dyDescent="0.2">
      <c r="A63" s="3" t="str">
        <f>IF(F63="","",C63&amp;"_"&amp;TEXT(COUNTIFS($C$2:C63,C63,$F$2:F63,"&lt;&gt;"),"000"))</f>
        <v>AS_US_021</v>
      </c>
      <c r="B63" s="3" t="s">
        <v>138</v>
      </c>
      <c r="C63" s="3" t="s">
        <v>139</v>
      </c>
      <c r="D63" s="10">
        <v>45811</v>
      </c>
      <c r="E63" s="3">
        <v>1</v>
      </c>
      <c r="F63" s="1" t="s">
        <v>93</v>
      </c>
      <c r="G63" s="3" t="str" cm="1">
        <f t="array" ref="G63:I63">_xlfn.XLOOKUP($A63,Tagged_Batch!$A:$A,Tagged_Batch!$B:$D,"")</f>
        <v>Feature_Request</v>
      </c>
      <c r="H63" s="3" t="str">
        <v>Routines</v>
      </c>
      <c r="I63" s="3" t="str">
        <v>no</v>
      </c>
      <c r="J63" s="1" t="s">
        <v>298</v>
      </c>
    </row>
    <row r="64" spans="1:10" ht="27" x14ac:dyDescent="0.2">
      <c r="A64" s="3" t="str">
        <f>IF(F64="","",C64&amp;"_"&amp;TEXT(COUNTIFS($C$2:C64,C64,$F$2:F64,"&lt;&gt;"),"000"))</f>
        <v>AS_US_022</v>
      </c>
      <c r="B64" s="3" t="s">
        <v>138</v>
      </c>
      <c r="C64" s="3" t="s">
        <v>139</v>
      </c>
      <c r="D64" s="10">
        <v>45809</v>
      </c>
      <c r="E64" s="3">
        <v>3</v>
      </c>
      <c r="F64" s="1" t="s">
        <v>106</v>
      </c>
      <c r="G64" s="3" t="str" cm="1">
        <f t="array" ref="G64:I64">_xlfn.XLOOKUP($A64,Tagged_Batch!$A:$A,Tagged_Batch!$B:$D,"")</f>
        <v>UI</v>
      </c>
      <c r="H64" s="3" t="str">
        <v>Clutter</v>
      </c>
      <c r="I64" s="3" t="str">
        <v>no</v>
      </c>
      <c r="J64" s="1" t="s">
        <v>298</v>
      </c>
    </row>
    <row r="65" spans="1:10" ht="105" x14ac:dyDescent="0.2">
      <c r="A65" s="3" t="str">
        <f>IF(F65="","",C65&amp;"_"&amp;TEXT(COUNTIFS($C$2:C65,C65,$F$2:F65,"&lt;&gt;"),"000"))</f>
        <v>AS_US_023</v>
      </c>
      <c r="B65" s="3" t="s">
        <v>138</v>
      </c>
      <c r="C65" s="3" t="s">
        <v>139</v>
      </c>
      <c r="D65" s="10">
        <v>45799</v>
      </c>
      <c r="E65" s="3">
        <v>3</v>
      </c>
      <c r="F65" s="1" t="s">
        <v>107</v>
      </c>
      <c r="G65" s="3" t="str" cm="1">
        <f t="array" ref="G65:I65">_xlfn.XLOOKUP($A65,Tagged_Batch!$A:$A,Tagged_Batch!$B:$D,"")</f>
        <v>Bug</v>
      </c>
      <c r="H65" s="3" t="str">
        <v>UI</v>
      </c>
      <c r="I65" s="3" t="str">
        <v>yes</v>
      </c>
      <c r="J65" s="1" t="s">
        <v>298</v>
      </c>
    </row>
    <row r="66" spans="1:10" ht="92" x14ac:dyDescent="0.2">
      <c r="A66" s="3" t="str">
        <f>IF(F66="","",C66&amp;"_"&amp;TEXT(COUNTIFS($C$2:C66,C66,$F$2:F66,"&lt;&gt;"),"000"))</f>
        <v>AS_US_024</v>
      </c>
      <c r="B66" s="3" t="s">
        <v>138</v>
      </c>
      <c r="C66" s="3" t="s">
        <v>139</v>
      </c>
      <c r="D66" s="10">
        <v>45797</v>
      </c>
      <c r="E66" s="3">
        <v>3</v>
      </c>
      <c r="F66" s="1" t="s">
        <v>108</v>
      </c>
      <c r="G66" s="3" t="str" cm="1">
        <f t="array" ref="G66:I66">_xlfn.XLOOKUP($A66,Tagged_Batch!$A:$A,Tagged_Batch!$B:$D,"")</f>
        <v>Integrations</v>
      </c>
      <c r="H66" s="3" t="str">
        <v>Web_Desktop</v>
      </c>
      <c r="I66" s="3" t="str">
        <v>yes</v>
      </c>
      <c r="J66" s="1" t="s">
        <v>298</v>
      </c>
    </row>
    <row r="67" spans="1:10" ht="40" x14ac:dyDescent="0.2">
      <c r="A67" s="3" t="str">
        <f>IF(F67="","",C67&amp;"_"&amp;TEXT(COUNTIFS($C$2:C67,C67,$F$2:F67,"&lt;&gt;"),"000"))</f>
        <v>AS_US_025</v>
      </c>
      <c r="B67" s="3" t="s">
        <v>138</v>
      </c>
      <c r="C67" s="3" t="s">
        <v>139</v>
      </c>
      <c r="D67" s="10">
        <v>45949</v>
      </c>
      <c r="E67" s="3">
        <v>3</v>
      </c>
      <c r="F67" s="1" t="s">
        <v>109</v>
      </c>
      <c r="G67" s="3" t="str" cm="1">
        <f t="array" ref="G67:I67">_xlfn.XLOOKUP($A67,Tagged_Batch!$A:$A,Tagged_Batch!$B:$D,"")</f>
        <v>Bug</v>
      </c>
      <c r="H67" s="3" t="str">
        <v>UI</v>
      </c>
      <c r="I67" s="3" t="str">
        <v>yes</v>
      </c>
      <c r="J67" s="1" t="s">
        <v>298</v>
      </c>
    </row>
    <row r="68" spans="1:10" ht="40" x14ac:dyDescent="0.2">
      <c r="A68" s="3" t="str">
        <f>IF(F68="","",C68&amp;"_"&amp;TEXT(COUNTIFS($C$2:C68,C68,$F$2:F68,"&lt;&gt;"),"000"))</f>
        <v>AS_US_026</v>
      </c>
      <c r="B68" s="3" t="s">
        <v>138</v>
      </c>
      <c r="C68" s="3" t="s">
        <v>139</v>
      </c>
      <c r="D68" s="10">
        <v>45950</v>
      </c>
      <c r="E68" s="3">
        <v>3</v>
      </c>
      <c r="F68" s="1" t="s">
        <v>110</v>
      </c>
      <c r="G68" s="3" t="str" cm="1">
        <f t="array" ref="G68:I68">_xlfn.XLOOKUP($A68,Tagged_Batch!$A:$A,Tagged_Batch!$B:$D,"")</f>
        <v>Bug</v>
      </c>
      <c r="H68" s="3" t="str">
        <v>Calendar</v>
      </c>
      <c r="I68" s="3" t="str">
        <v>no</v>
      </c>
      <c r="J68" s="1" t="s">
        <v>298</v>
      </c>
    </row>
    <row r="69" spans="1:10" ht="40" x14ac:dyDescent="0.2">
      <c r="A69" s="3" t="str">
        <f>IF(F69="","",C69&amp;"_"&amp;TEXT(COUNTIFS($C$2:C69,C69,$F$2:F69,"&lt;&gt;"),"000"))</f>
        <v>AS_US_027</v>
      </c>
      <c r="B69" s="3" t="s">
        <v>138</v>
      </c>
      <c r="C69" s="3" t="s">
        <v>139</v>
      </c>
      <c r="D69" s="10">
        <v>45950</v>
      </c>
      <c r="E69" s="3">
        <v>2</v>
      </c>
      <c r="F69" s="1" t="s">
        <v>111</v>
      </c>
      <c r="G69" s="3" t="str" cm="1">
        <f t="array" ref="G69:I69">_xlfn.XLOOKUP($A69,Tagged_Batch!$A:$A,Tagged_Batch!$B:$D,"")</f>
        <v>Performance</v>
      </c>
      <c r="H69" s="3" t="str">
        <v>Crash</v>
      </c>
      <c r="I69" s="3" t="str">
        <v>no</v>
      </c>
      <c r="J69" s="1" t="s">
        <v>298</v>
      </c>
    </row>
    <row r="70" spans="1:10" ht="66" x14ac:dyDescent="0.2">
      <c r="A70" s="3" t="str">
        <f>IF(F70="","",C70&amp;"_"&amp;TEXT(COUNTIFS($C$2:C70,C70,$F$2:F70,"&lt;&gt;"),"000"))</f>
        <v>AS_US_028</v>
      </c>
      <c r="B70" s="3" t="s">
        <v>138</v>
      </c>
      <c r="C70" s="3" t="s">
        <v>139</v>
      </c>
      <c r="D70" s="10">
        <v>45951</v>
      </c>
      <c r="E70" s="3">
        <v>2</v>
      </c>
      <c r="F70" s="1" t="s">
        <v>112</v>
      </c>
      <c r="G70" s="3" t="str" cm="1">
        <f t="array" ref="G70:I70">_xlfn.XLOOKUP($A70,Tagged_Batch!$A:$A,Tagged_Batch!$B:$D,"")</f>
        <v>Integrations</v>
      </c>
      <c r="H70" s="3" t="str">
        <v>Calendar</v>
      </c>
      <c r="I70" s="3" t="str">
        <v>yes</v>
      </c>
      <c r="J70" s="1" t="s">
        <v>298</v>
      </c>
    </row>
    <row r="71" spans="1:10" ht="79" x14ac:dyDescent="0.2">
      <c r="A71" s="3" t="str">
        <f>IF(F71="","",C71&amp;"_"&amp;TEXT(COUNTIFS($C$2:C71,C71,$F$2:F71,"&lt;&gt;"),"000"))</f>
        <v>AS_US_029</v>
      </c>
      <c r="B71" s="3" t="s">
        <v>138</v>
      </c>
      <c r="C71" s="3" t="s">
        <v>139</v>
      </c>
      <c r="D71" s="10">
        <v>45996</v>
      </c>
      <c r="E71" s="3">
        <v>3</v>
      </c>
      <c r="F71" s="1" t="s">
        <v>113</v>
      </c>
      <c r="G71" s="3" t="str" cm="1">
        <f t="array" ref="G71:I71">_xlfn.XLOOKUP($A71,Tagged_Batch!$A:$A,Tagged_Batch!$B:$D,"")</f>
        <v>Performance</v>
      </c>
      <c r="H71" s="3" t="str">
        <v>Crash</v>
      </c>
      <c r="I71" s="3" t="str">
        <v>yes</v>
      </c>
      <c r="J71" s="1" t="s">
        <v>298</v>
      </c>
    </row>
    <row r="72" spans="1:10" ht="105" x14ac:dyDescent="0.2">
      <c r="A72" s="3" t="str">
        <f>IF(F72="","",C72&amp;"_"&amp;TEXT(COUNTIFS($C$2:C72,C72,$F$2:F72,"&lt;&gt;"),"000"))</f>
        <v>AS_US_030</v>
      </c>
      <c r="B72" s="3" t="s">
        <v>138</v>
      </c>
      <c r="C72" s="3" t="s">
        <v>139</v>
      </c>
      <c r="D72" s="10">
        <v>45986</v>
      </c>
      <c r="E72" s="3">
        <v>2</v>
      </c>
      <c r="F72" s="1" t="s">
        <v>114</v>
      </c>
      <c r="G72" s="3" t="str" cm="1">
        <f t="array" ref="G72:I72">_xlfn.XLOOKUP($A72,Tagged_Batch!$A:$A,Tagged_Batch!$B:$D,"")</f>
        <v>Subscription</v>
      </c>
      <c r="H72" s="3" t="str">
        <v>High_Price</v>
      </c>
      <c r="I72" s="3" t="str">
        <v>yes</v>
      </c>
      <c r="J72" s="1" t="s">
        <v>298</v>
      </c>
    </row>
    <row r="73" spans="1:10" x14ac:dyDescent="0.2">
      <c r="A73" s="3" t="str">
        <f>IF(F73="","",C73&amp;"_"&amp;TEXT(COUNTIFS($C$2:C73,C73,$F$2:F73,"&lt;&gt;"),"000"))</f>
        <v>AS_US_031</v>
      </c>
      <c r="B73" s="3" t="s">
        <v>138</v>
      </c>
      <c r="C73" s="3" t="s">
        <v>139</v>
      </c>
      <c r="D73" s="10">
        <v>45986</v>
      </c>
      <c r="E73" s="3">
        <v>2</v>
      </c>
      <c r="F73" s="1" t="s">
        <v>115</v>
      </c>
      <c r="G73" s="3" t="str" cm="1">
        <f t="array" ref="G73:I73">_xlfn.XLOOKUP($A73,Tagged_Batch!$A:$A,Tagged_Batch!$B:$D,"")</f>
        <v>Bug</v>
      </c>
      <c r="H73" s="3" t="str">
        <v>Calendar</v>
      </c>
      <c r="I73" s="3" t="str">
        <v>no</v>
      </c>
      <c r="J73" s="1" t="s">
        <v>298</v>
      </c>
    </row>
    <row r="74" spans="1:10" ht="40" x14ac:dyDescent="0.2">
      <c r="A74" s="3" t="str">
        <f>IF(F74="","",C74&amp;"_"&amp;TEXT(COUNTIFS($C$2:C74,C74,$F$2:F74,"&lt;&gt;"),"000"))</f>
        <v>AS_US_032</v>
      </c>
      <c r="B74" s="3" t="s">
        <v>138</v>
      </c>
      <c r="C74" s="3" t="s">
        <v>139</v>
      </c>
      <c r="D74" s="10">
        <v>46037</v>
      </c>
      <c r="E74" s="3">
        <v>1</v>
      </c>
      <c r="F74" s="2" t="s">
        <v>83</v>
      </c>
      <c r="G74" s="3" t="str" cm="1">
        <f t="array" ref="G74:I74">_xlfn.XLOOKUP($A74,Tagged_Batch!$A:$A,Tagged_Batch!$B:$D,"")</f>
        <v>Bug</v>
      </c>
      <c r="H74" s="3" t="str">
        <v>Routines</v>
      </c>
      <c r="I74" s="3" t="str">
        <v>no</v>
      </c>
      <c r="J74" s="1" t="s">
        <v>298</v>
      </c>
    </row>
    <row r="75" spans="1:10" ht="131" x14ac:dyDescent="0.2">
      <c r="A75" s="3" t="str">
        <f>IF(F75="","",C75&amp;"_"&amp;TEXT(COUNTIFS($C$2:C75,C75,$F$2:F75,"&lt;&gt;"),"000"))</f>
        <v>AS_US_033</v>
      </c>
      <c r="B75" s="3" t="s">
        <v>138</v>
      </c>
      <c r="C75" s="3" t="s">
        <v>139</v>
      </c>
      <c r="D75" s="10">
        <v>46026</v>
      </c>
      <c r="E75" s="3">
        <v>3</v>
      </c>
      <c r="F75" s="2" t="s">
        <v>85</v>
      </c>
      <c r="G75" s="3" t="str" cm="1">
        <f t="array" ref="G75:I75">_xlfn.XLOOKUP($A75,Tagged_Batch!$A:$A,Tagged_Batch!$B:$D,"")</f>
        <v>Bug</v>
      </c>
      <c r="H75" s="3" t="str">
        <v>Calendar</v>
      </c>
      <c r="I75" s="3" t="str">
        <v>yes</v>
      </c>
      <c r="J75" s="1" t="s">
        <v>298</v>
      </c>
    </row>
    <row r="76" spans="1:10" ht="40" x14ac:dyDescent="0.2">
      <c r="A76" s="3" t="str">
        <f>IF(F76="","",C76&amp;"_"&amp;TEXT(COUNTIFS($C$2:C76,C76,$F$2:F76,"&lt;&gt;"),"000"))</f>
        <v>AS_US_034</v>
      </c>
      <c r="B76" s="3" t="s">
        <v>138</v>
      </c>
      <c r="C76" s="3" t="s">
        <v>139</v>
      </c>
      <c r="D76" s="10">
        <v>45950</v>
      </c>
      <c r="E76" s="3">
        <v>3</v>
      </c>
      <c r="F76" s="1" t="s">
        <v>110</v>
      </c>
      <c r="G76" s="3" t="str" cm="1">
        <f t="array" ref="G76:I76">_xlfn.XLOOKUP($A76,Tagged_Batch!$A:$A,Tagged_Batch!$B:$D,"")</f>
        <v>Bug</v>
      </c>
      <c r="H76" s="3" t="str">
        <v>UI</v>
      </c>
      <c r="I76" s="3" t="str">
        <v>no</v>
      </c>
      <c r="J76" s="1" t="s">
        <v>298</v>
      </c>
    </row>
    <row r="77" spans="1:10" ht="66" x14ac:dyDescent="0.2">
      <c r="A77" s="3" t="str">
        <f>IF(F77="","",C77&amp;"_"&amp;TEXT(COUNTIFS($C$2:C77,C77,$F$2:F77,"&lt;&gt;"),"000"))</f>
        <v>AS_US_035</v>
      </c>
      <c r="B77" s="3" t="s">
        <v>138</v>
      </c>
      <c r="C77" s="3" t="s">
        <v>139</v>
      </c>
      <c r="D77" s="10">
        <v>45951</v>
      </c>
      <c r="E77" s="3">
        <v>2</v>
      </c>
      <c r="F77" s="1" t="s">
        <v>112</v>
      </c>
      <c r="G77" s="3" t="str" cm="1">
        <f t="array" ref="G77:I77">_xlfn.XLOOKUP($A77,Tagged_Batch!$A:$A,Tagged_Batch!$B:$D,"")</f>
        <v>Performance</v>
      </c>
      <c r="H77" s="3" t="str">
        <v>Crash</v>
      </c>
      <c r="I77" s="3" t="str">
        <v>yes</v>
      </c>
      <c r="J77" s="1" t="s">
        <v>298</v>
      </c>
    </row>
    <row r="78" spans="1:10" ht="92" x14ac:dyDescent="0.2">
      <c r="A78" s="3" t="str">
        <f>IF(F78="","",C78&amp;"_"&amp;TEXT(COUNTIFS($C$2:C78,C78,$F$2:F78,"&lt;&gt;"),"000"))</f>
        <v>AS_US_036</v>
      </c>
      <c r="B78" s="3" t="s">
        <v>138</v>
      </c>
      <c r="C78" s="3" t="s">
        <v>139</v>
      </c>
      <c r="D78" s="10">
        <v>45910</v>
      </c>
      <c r="E78" s="3">
        <v>3</v>
      </c>
      <c r="F78" s="2" t="s">
        <v>82</v>
      </c>
      <c r="G78" s="3" t="str" cm="1">
        <f t="array" ref="G78:I78">_xlfn.XLOOKUP($A78,Tagged_Batch!$A:$A,Tagged_Batch!$B:$D,"")</f>
        <v>Bug</v>
      </c>
      <c r="H78" s="3" t="str">
        <v>Calendar</v>
      </c>
      <c r="I78" s="3" t="str">
        <v>no</v>
      </c>
      <c r="J78" s="1" t="s">
        <v>298</v>
      </c>
    </row>
    <row r="79" spans="1:10" ht="40" x14ac:dyDescent="0.2">
      <c r="A79" s="3" t="str">
        <f>IF(F79="","",C79&amp;"_"&amp;TEXT(COUNTIFS($C$2:C79,C79,$F$2:F79,"&lt;&gt;"),"000"))</f>
        <v>BG_001</v>
      </c>
      <c r="B79" s="3" t="s">
        <v>118</v>
      </c>
      <c r="C79" s="3" t="s">
        <v>119</v>
      </c>
      <c r="D79" s="10">
        <v>46010</v>
      </c>
      <c r="E79" s="3" t="s">
        <v>298</v>
      </c>
      <c r="F79" s="1" t="s">
        <v>116</v>
      </c>
      <c r="G79" s="3" t="str" cm="1">
        <f t="array" ref="G79:I79">_xlfn.XLOOKUP($A79,Tagged_Batch!$A:$A,Tagged_Batch!$B:$D,"")</f>
        <v>Other</v>
      </c>
      <c r="H79" s="3" t="str">
        <v>Uncategorized</v>
      </c>
      <c r="I79" s="3" t="str">
        <v>no</v>
      </c>
      <c r="J79" s="1" t="s">
        <v>117</v>
      </c>
    </row>
    <row r="80" spans="1:10" ht="27" x14ac:dyDescent="0.2">
      <c r="A80" s="3" t="str">
        <f>IF(F80="","",C80&amp;"_"&amp;TEXT(COUNTIFS($C$2:C80,C80,$F$2:F80,"&lt;&gt;"),"000"))</f>
        <v>BG_002</v>
      </c>
      <c r="B80" s="3" t="s">
        <v>118</v>
      </c>
      <c r="C80" s="3" t="s">
        <v>119</v>
      </c>
      <c r="D80" s="10">
        <v>46035</v>
      </c>
      <c r="E80" s="3" t="s">
        <v>298</v>
      </c>
      <c r="F80" s="1" t="s">
        <v>120</v>
      </c>
      <c r="G80" s="3" t="str" cm="1">
        <f t="array" ref="G80:I80">_xlfn.XLOOKUP($A80,Tagged_Batch!$A:$A,Tagged_Batch!$B:$D,"")</f>
        <v>Subscription</v>
      </c>
      <c r="H80" s="3" t="str">
        <v>High_Price</v>
      </c>
      <c r="I80" s="3" t="str">
        <v>no</v>
      </c>
      <c r="J80" s="1" t="s">
        <v>121</v>
      </c>
    </row>
    <row r="81" spans="1:10" ht="79" x14ac:dyDescent="0.2">
      <c r="A81" s="3" t="str">
        <f>IF(F81="","",C81&amp;"_"&amp;TEXT(COUNTIFS($C$2:C81,C81,$F$2:F81,"&lt;&gt;"),"000"))</f>
        <v>NT_001</v>
      </c>
      <c r="B81" s="3" t="s">
        <v>7</v>
      </c>
      <c r="C81" s="3" t="s">
        <v>8</v>
      </c>
      <c r="D81" s="10">
        <v>45658</v>
      </c>
      <c r="E81" s="3" t="s">
        <v>298</v>
      </c>
      <c r="F81" s="2" t="s">
        <v>9</v>
      </c>
      <c r="G81" s="3" t="str" cm="1">
        <f t="array" ref="G81:I81">_xlfn.XLOOKUP($A81,Tagged_Batch!$A:$A,Tagged_Batch!$B:$D,"")</f>
        <v>Feature_Request</v>
      </c>
      <c r="H81" s="3" t="str">
        <v>Routines</v>
      </c>
      <c r="I81" s="3" t="str">
        <v>no</v>
      </c>
      <c r="J81" s="1" t="s">
        <v>14</v>
      </c>
    </row>
    <row r="82" spans="1:10" ht="27" x14ac:dyDescent="0.2">
      <c r="A82" s="3" t="str">
        <f>IF(F82="","",C82&amp;"_"&amp;TEXT(COUNTIFS($C$2:C82,C82,$F$2:F82,"&lt;&gt;"),"000"))</f>
        <v>NT_002</v>
      </c>
      <c r="B82" s="3" t="s">
        <v>7</v>
      </c>
      <c r="C82" s="3" t="s">
        <v>8</v>
      </c>
      <c r="D82" s="10">
        <v>45658</v>
      </c>
      <c r="E82" s="3" t="s">
        <v>298</v>
      </c>
      <c r="F82" s="2" t="s">
        <v>10</v>
      </c>
      <c r="G82" s="3" t="str" cm="1">
        <f t="array" ref="G82:I82">_xlfn.XLOOKUP($A82,Tagged_Batch!$A:$A,Tagged_Batch!$B:$D,"")</f>
        <v>Feature_Request</v>
      </c>
      <c r="H82" s="3" t="str">
        <v>Uncategorized</v>
      </c>
      <c r="I82" s="3" t="str">
        <v>no</v>
      </c>
      <c r="J82" s="1" t="s">
        <v>15</v>
      </c>
    </row>
    <row r="83" spans="1:10" ht="40" x14ac:dyDescent="0.2">
      <c r="A83" s="3" t="str">
        <f>IF(F83="","",C83&amp;"_"&amp;TEXT(COUNTIFS($C$2:C83,C83,$F$2:F83,"&lt;&gt;"),"000"))</f>
        <v>NT_003</v>
      </c>
      <c r="B83" s="3" t="s">
        <v>7</v>
      </c>
      <c r="C83" s="3" t="s">
        <v>8</v>
      </c>
      <c r="D83" s="10">
        <v>45658</v>
      </c>
      <c r="E83" s="3" t="s">
        <v>298</v>
      </c>
      <c r="F83" s="2" t="s">
        <v>11</v>
      </c>
      <c r="G83" s="3" t="str" cm="1">
        <f t="array" ref="G83:I83">_xlfn.XLOOKUP($A83,Tagged_Batch!$A:$A,Tagged_Batch!$B:$D,"")</f>
        <v>Other</v>
      </c>
      <c r="H83" s="3" t="str">
        <v>Uncategorized</v>
      </c>
      <c r="I83" s="3" t="str">
        <v>no</v>
      </c>
      <c r="J83" s="1" t="s">
        <v>16</v>
      </c>
    </row>
    <row r="84" spans="1:10" ht="27" x14ac:dyDescent="0.2">
      <c r="A84" s="3" t="str">
        <f>IF(F84="","",C84&amp;"_"&amp;TEXT(COUNTIFS($C$2:C84,C84,$F$2:F84,"&lt;&gt;"),"000"))</f>
        <v>NT_004</v>
      </c>
      <c r="B84" s="3" t="s">
        <v>7</v>
      </c>
      <c r="C84" s="3" t="s">
        <v>8</v>
      </c>
      <c r="D84" s="10">
        <v>45658</v>
      </c>
      <c r="E84" s="3" t="s">
        <v>298</v>
      </c>
      <c r="F84" s="2" t="s">
        <v>12</v>
      </c>
      <c r="G84" s="3" t="str" cm="1">
        <f t="array" ref="G84:I84">_xlfn.XLOOKUP($A84,Tagged_Batch!$A:$A,Tagged_Batch!$B:$D,"")</f>
        <v>Feature_Request</v>
      </c>
      <c r="H84" s="3" t="str">
        <v>Routines</v>
      </c>
      <c r="I84" s="3" t="str">
        <v>no</v>
      </c>
      <c r="J84" s="1" t="s">
        <v>13</v>
      </c>
    </row>
    <row r="85" spans="1:10" ht="53" x14ac:dyDescent="0.2">
      <c r="A85" s="3" t="str">
        <f>IF(F85="","",C85&amp;"_"&amp;TEXT(COUNTIFS($C$2:C85,C85,$F$2:F85,"&lt;&gt;"),"000"))</f>
        <v>NT_005</v>
      </c>
      <c r="B85" s="3" t="s">
        <v>7</v>
      </c>
      <c r="C85" s="3" t="s">
        <v>8</v>
      </c>
      <c r="D85" s="10">
        <v>46045</v>
      </c>
      <c r="E85" s="3" t="s">
        <v>298</v>
      </c>
      <c r="F85" s="2" t="s">
        <v>17</v>
      </c>
      <c r="G85" s="3" t="str" cm="1">
        <f t="array" ref="G85:I85">_xlfn.XLOOKUP($A85,Tagged_Batch!$A:$A,Tagged_Batch!$B:$D,"")</f>
        <v>Feature_Request</v>
      </c>
      <c r="H85" s="3" t="str">
        <v>Widgets</v>
      </c>
      <c r="I85" s="3" t="str">
        <v>no</v>
      </c>
      <c r="J85" s="1" t="s">
        <v>18</v>
      </c>
    </row>
    <row r="86" spans="1:10" ht="79" customHeight="1" x14ac:dyDescent="0.2">
      <c r="A86" s="3" t="str">
        <f>IF(F86="","",C86&amp;"_"&amp;TEXT(COUNTIFS($C$2:C86,C86,$F$2:F86,"&lt;&gt;"),"000"))</f>
        <v>NT_006</v>
      </c>
      <c r="B86" s="3" t="s">
        <v>7</v>
      </c>
      <c r="C86" s="3" t="s">
        <v>8</v>
      </c>
      <c r="D86" s="10">
        <v>46043</v>
      </c>
      <c r="E86" s="3" t="s">
        <v>298</v>
      </c>
      <c r="F86" s="4" t="s">
        <v>19</v>
      </c>
      <c r="G86" s="3" t="str" cm="1">
        <f t="array" ref="G86:I86">_xlfn.XLOOKUP($A86,Tagged_Batch!$A:$A,Tagged_Batch!$B:$D,"")</f>
        <v>Feature_Request</v>
      </c>
      <c r="H86" s="3" t="str">
        <v>Uncategorized</v>
      </c>
      <c r="I86" s="3" t="str">
        <v>no</v>
      </c>
      <c r="J86" s="1" t="s">
        <v>20</v>
      </c>
    </row>
    <row r="87" spans="1:10" ht="66" x14ac:dyDescent="0.2">
      <c r="A87" s="3" t="str">
        <f>IF(F87="","",C87&amp;"_"&amp;TEXT(COUNTIFS($C$2:C87,C87,$F$2:F87,"&lt;&gt;"),"000"))</f>
        <v>NT_007</v>
      </c>
      <c r="B87" s="3" t="s">
        <v>7</v>
      </c>
      <c r="C87" s="3" t="s">
        <v>8</v>
      </c>
      <c r="D87" s="10">
        <v>46041</v>
      </c>
      <c r="E87" s="3" t="s">
        <v>298</v>
      </c>
      <c r="F87" s="2" t="s">
        <v>21</v>
      </c>
      <c r="G87" s="3" t="str" cm="1">
        <f t="array" ref="G87:I87">_xlfn.XLOOKUP($A87,Tagged_Batch!$A:$A,Tagged_Batch!$B:$D,"")</f>
        <v>Feature_Request</v>
      </c>
      <c r="H87" s="3" t="str">
        <v>Routines</v>
      </c>
      <c r="I87" s="3" t="str">
        <v>no</v>
      </c>
      <c r="J87" s="1" t="s">
        <v>22</v>
      </c>
    </row>
    <row r="88" spans="1:10" ht="40" x14ac:dyDescent="0.2">
      <c r="A88" s="3" t="str">
        <f>IF(F88="","",C88&amp;"_"&amp;TEXT(COUNTIFS($C$2:C88,C88,$F$2:F88,"&lt;&gt;"),"000"))</f>
        <v>NT_008</v>
      </c>
      <c r="B88" s="3" t="s">
        <v>7</v>
      </c>
      <c r="C88" s="3" t="s">
        <v>8</v>
      </c>
      <c r="D88" s="10">
        <v>46041</v>
      </c>
      <c r="E88" s="3" t="s">
        <v>298</v>
      </c>
      <c r="F88" s="2" t="s">
        <v>23</v>
      </c>
      <c r="G88" s="3" t="str" cm="1">
        <f t="array" ref="G88:I88">_xlfn.XLOOKUP($A88,Tagged_Batch!$A:$A,Tagged_Batch!$B:$D,"")</f>
        <v>Bug</v>
      </c>
      <c r="H88" s="3" t="str">
        <v>AI</v>
      </c>
      <c r="I88" s="3" t="str">
        <v>no</v>
      </c>
      <c r="J88" s="1" t="s">
        <v>24</v>
      </c>
    </row>
    <row r="89" spans="1:10" x14ac:dyDescent="0.2">
      <c r="A89" s="3" t="str">
        <f>IF(F89="","",C89&amp;"_"&amp;TEXT(COUNTIFS($C$2:C89,C89,$F$2:F89,"&lt;&gt;"),"000"))</f>
        <v>NT_009</v>
      </c>
      <c r="B89" s="3" t="s">
        <v>7</v>
      </c>
      <c r="C89" s="3" t="s">
        <v>8</v>
      </c>
      <c r="D89" s="10">
        <v>46037</v>
      </c>
      <c r="E89" s="3" t="s">
        <v>298</v>
      </c>
      <c r="F89" s="4" t="s">
        <v>25</v>
      </c>
      <c r="G89" s="3" t="str" cm="1">
        <f t="array" ref="G89:I89">_xlfn.XLOOKUP($A89,Tagged_Batch!$A:$A,Tagged_Batch!$B:$D,"")</f>
        <v>Subscription</v>
      </c>
      <c r="H89" s="3" t="str">
        <v>Paywall</v>
      </c>
      <c r="I89" s="3" t="str">
        <v>no</v>
      </c>
      <c r="J89" s="1" t="s">
        <v>26</v>
      </c>
    </row>
    <row r="90" spans="1:10" ht="53" x14ac:dyDescent="0.2">
      <c r="A90" s="3" t="str">
        <f>IF(F90="","",C90&amp;"_"&amp;TEXT(COUNTIFS($C$2:C90,C90,$F$2:F90,"&lt;&gt;"),"000"))</f>
        <v>NT_010</v>
      </c>
      <c r="B90" s="3" t="s">
        <v>7</v>
      </c>
      <c r="C90" s="3" t="s">
        <v>8</v>
      </c>
      <c r="D90" s="10">
        <v>46037</v>
      </c>
      <c r="E90" s="3" t="s">
        <v>298</v>
      </c>
      <c r="F90" s="2" t="s">
        <v>27</v>
      </c>
      <c r="G90" s="3" t="str" cm="1">
        <f t="array" ref="G90:I90">_xlfn.XLOOKUP($A90,Tagged_Batch!$A:$A,Tagged_Batch!$B:$D,"")</f>
        <v>Subscription</v>
      </c>
      <c r="H90" s="3" t="str">
        <v>Uncategorized</v>
      </c>
      <c r="I90" s="3" t="str">
        <v>no</v>
      </c>
      <c r="J90" s="1" t="s">
        <v>28</v>
      </c>
    </row>
    <row r="91" spans="1:10" ht="40" x14ac:dyDescent="0.2">
      <c r="A91" s="3" t="str">
        <f>IF(F91="","",C91&amp;"_"&amp;TEXT(COUNTIFS($C$2:C91,C91,$F$2:F91,"&lt;&gt;"),"000"))</f>
        <v>NT_011</v>
      </c>
      <c r="B91" s="3" t="s">
        <v>7</v>
      </c>
      <c r="C91" s="3" t="s">
        <v>8</v>
      </c>
      <c r="D91" s="10">
        <v>46037</v>
      </c>
      <c r="E91" s="3" t="s">
        <v>298</v>
      </c>
      <c r="F91" s="2" t="s">
        <v>29</v>
      </c>
      <c r="G91" s="3" t="str" cm="1">
        <f t="array" ref="G91:I91">_xlfn.XLOOKUP($A91,Tagged_Batch!$A:$A,Tagged_Batch!$B:$D,"")</f>
        <v>Feature_Request</v>
      </c>
      <c r="H91" s="3" t="str">
        <v>Uncategorized</v>
      </c>
      <c r="I91" s="3" t="str">
        <v>no</v>
      </c>
      <c r="J91" s="1" t="s">
        <v>30</v>
      </c>
    </row>
    <row r="92" spans="1:10" ht="40" x14ac:dyDescent="0.2">
      <c r="A92" s="3" t="str">
        <f>IF(F92="","",C92&amp;"_"&amp;TEXT(COUNTIFS($C$2:C92,C92,$F$2:F92,"&lt;&gt;"),"000"))</f>
        <v>NT_012</v>
      </c>
      <c r="B92" s="3" t="s">
        <v>7</v>
      </c>
      <c r="C92" s="3" t="s">
        <v>8</v>
      </c>
      <c r="D92" s="10">
        <v>46036</v>
      </c>
      <c r="E92" s="3" t="s">
        <v>298</v>
      </c>
      <c r="F92" s="2" t="s">
        <v>31</v>
      </c>
      <c r="G92" s="3" t="str" cm="1">
        <f t="array" ref="G92:I92">_xlfn.XLOOKUP($A92,Tagged_Batch!$A:$A,Tagged_Batch!$B:$D,"")</f>
        <v>Integrations</v>
      </c>
      <c r="H92" s="3" t="str">
        <v>Calendar</v>
      </c>
      <c r="I92" s="3" t="str">
        <v>no</v>
      </c>
      <c r="J92" s="1" t="s">
        <v>32</v>
      </c>
    </row>
    <row r="93" spans="1:10" x14ac:dyDescent="0.2">
      <c r="A93" s="3" t="str">
        <f>IF(F93="","",C93&amp;"_"&amp;TEXT(COUNTIFS($C$2:C93,C93,$F$2:F93,"&lt;&gt;"),"000"))</f>
        <v>NT_013</v>
      </c>
      <c r="B93" s="3" t="s">
        <v>7</v>
      </c>
      <c r="C93" s="3" t="s">
        <v>8</v>
      </c>
      <c r="D93" s="10">
        <v>46025</v>
      </c>
      <c r="E93" s="3" t="s">
        <v>298</v>
      </c>
      <c r="F93" s="1" t="s">
        <v>33</v>
      </c>
      <c r="G93" s="3" t="str" cm="1">
        <f t="array" ref="G93:I93">_xlfn.XLOOKUP($A93,Tagged_Batch!$A:$A,Tagged_Batch!$B:$D,"")</f>
        <v>Integrations</v>
      </c>
      <c r="H93" s="3" t="str">
        <v>Android</v>
      </c>
      <c r="I93" s="3" t="str">
        <v>no</v>
      </c>
      <c r="J93" s="1" t="s">
        <v>34</v>
      </c>
    </row>
    <row r="94" spans="1:10" ht="27" x14ac:dyDescent="0.2">
      <c r="A94" s="3" t="str">
        <f>IF(F94="","",C94&amp;"_"&amp;TEXT(COUNTIFS($C$2:C94,C94,$F$2:F94,"&lt;&gt;"),"000"))</f>
        <v>NT_014</v>
      </c>
      <c r="B94" s="3" t="s">
        <v>7</v>
      </c>
      <c r="C94" s="3" t="s">
        <v>8</v>
      </c>
      <c r="D94" s="10">
        <v>46038</v>
      </c>
      <c r="E94" s="3" t="s">
        <v>298</v>
      </c>
      <c r="F94" s="2" t="s">
        <v>35</v>
      </c>
      <c r="G94" s="3" t="str" cm="1">
        <f t="array" ref="G94:I94">_xlfn.XLOOKUP($A94,Tagged_Batch!$A:$A,Tagged_Batch!$B:$D,"")</f>
        <v>Integrations</v>
      </c>
      <c r="H94" s="3" t="str">
        <v>Android</v>
      </c>
      <c r="I94" s="3" t="str">
        <v>no</v>
      </c>
      <c r="J94" s="1" t="s">
        <v>36</v>
      </c>
    </row>
    <row r="95" spans="1:10" x14ac:dyDescent="0.2">
      <c r="A95" s="3" t="str">
        <f>IF(F95="","",C95&amp;"_"&amp;TEXT(COUNTIFS($C$2:C95,C95,$F$2:F95,"&lt;&gt;"),"000"))</f>
        <v>NT_015</v>
      </c>
      <c r="B95" s="3" t="s">
        <v>7</v>
      </c>
      <c r="C95" s="3" t="s">
        <v>8</v>
      </c>
      <c r="D95" s="10">
        <v>45962</v>
      </c>
      <c r="E95" s="3" t="s">
        <v>298</v>
      </c>
      <c r="F95" s="2" t="s">
        <v>37</v>
      </c>
      <c r="G95" s="3" t="str" cm="1">
        <f t="array" ref="G95:I95">_xlfn.XLOOKUP($A95,Tagged_Batch!$A:$A,Tagged_Batch!$B:$D,"")</f>
        <v>Integrations</v>
      </c>
      <c r="H95" s="3" t="str">
        <v>Android</v>
      </c>
      <c r="I95" s="3" t="str">
        <v>no</v>
      </c>
      <c r="J95" s="1" t="s">
        <v>38</v>
      </c>
    </row>
    <row r="96" spans="1:10" ht="40" x14ac:dyDescent="0.2">
      <c r="A96" s="3" t="str">
        <f>IF(F96="","",C96&amp;"_"&amp;TEXT(COUNTIFS($C$2:C96,C96,$F$2:F96,"&lt;&gt;"),"000"))</f>
        <v>NT_016</v>
      </c>
      <c r="B96" s="3" t="s">
        <v>7</v>
      </c>
      <c r="C96" s="3" t="s">
        <v>8</v>
      </c>
      <c r="D96" s="10">
        <v>46034</v>
      </c>
      <c r="E96" s="3" t="s">
        <v>298</v>
      </c>
      <c r="F96" s="1" t="s">
        <v>39</v>
      </c>
      <c r="G96" s="3" t="str" cm="1">
        <f t="array" ref="G96:I96">_xlfn.XLOOKUP($A96,Tagged_Batch!$A:$A,Tagged_Batch!$B:$D,"")</f>
        <v>Integrations</v>
      </c>
      <c r="H96" s="3" t="str">
        <v>Apple_Watch</v>
      </c>
      <c r="I96" s="3" t="str">
        <v>no</v>
      </c>
      <c r="J96" s="1" t="s">
        <v>42</v>
      </c>
    </row>
    <row r="97" spans="1:10" ht="66" x14ac:dyDescent="0.2">
      <c r="A97" s="3" t="str">
        <f>IF(F97="","",C97&amp;"_"&amp;TEXT(COUNTIFS($C$2:C97,C97,$F$2:F97,"&lt;&gt;"),"000"))</f>
        <v>NT_017</v>
      </c>
      <c r="B97" s="3" t="s">
        <v>7</v>
      </c>
      <c r="C97" s="3" t="s">
        <v>8</v>
      </c>
      <c r="D97" s="10">
        <v>46023</v>
      </c>
      <c r="E97" s="3" t="s">
        <v>298</v>
      </c>
      <c r="F97" s="2" t="s">
        <v>40</v>
      </c>
      <c r="G97" s="3" t="str" cm="1">
        <f t="array" ref="G97:I97">_xlfn.XLOOKUP($A97,Tagged_Batch!$A:$A,Tagged_Batch!$B:$D,"")</f>
        <v>Subscription</v>
      </c>
      <c r="H97" s="3" t="str">
        <v>Uncategorized</v>
      </c>
      <c r="I97" s="3" t="str">
        <v>no</v>
      </c>
      <c r="J97" s="1" t="s">
        <v>41</v>
      </c>
    </row>
    <row r="98" spans="1:10" x14ac:dyDescent="0.2">
      <c r="A98" s="3" t="str">
        <f>IF(F98="","",C98&amp;"_"&amp;TEXT(COUNTIFS($C$2:C98,C98,$F$2:F98,"&lt;&gt;"),"000"))</f>
        <v>NT_018</v>
      </c>
      <c r="B98" s="3" t="s">
        <v>7</v>
      </c>
      <c r="C98" s="3" t="s">
        <v>8</v>
      </c>
      <c r="D98" s="10">
        <v>45992</v>
      </c>
      <c r="E98" s="3" t="s">
        <v>298</v>
      </c>
      <c r="F98" s="2" t="s">
        <v>43</v>
      </c>
      <c r="G98" s="3" t="str" cm="1">
        <f t="array" ref="G98:I98">_xlfn.XLOOKUP($A98,Tagged_Batch!$A:$A,Tagged_Batch!$B:$D,"")</f>
        <v>Subscription</v>
      </c>
      <c r="H98" s="3" t="str">
        <v>Uncategorized</v>
      </c>
      <c r="I98" s="3" t="str">
        <v>no</v>
      </c>
      <c r="J98" s="1" t="s">
        <v>44</v>
      </c>
    </row>
    <row r="99" spans="1:10" ht="40" x14ac:dyDescent="0.2">
      <c r="A99" s="3" t="str">
        <f>IF(F99="","",C99&amp;"_"&amp;TEXT(COUNTIFS($C$2:C99,C99,$F$2:F99,"&lt;&gt;"),"000"))</f>
        <v>NT_019</v>
      </c>
      <c r="B99" s="3" t="s">
        <v>7</v>
      </c>
      <c r="C99" s="3" t="s">
        <v>8</v>
      </c>
      <c r="D99" s="10">
        <v>45962</v>
      </c>
      <c r="E99" s="3" t="s">
        <v>298</v>
      </c>
      <c r="F99" s="2" t="s">
        <v>45</v>
      </c>
      <c r="G99" s="3" t="str" cm="1">
        <f t="array" ref="G99:I99">_xlfn.XLOOKUP($A99,Tagged_Batch!$A:$A,Tagged_Batch!$B:$D,"")</f>
        <v>Feature_Request</v>
      </c>
      <c r="H99" s="3" t="str">
        <v>Uncategorized</v>
      </c>
      <c r="I99" s="3" t="str">
        <v>no</v>
      </c>
      <c r="J99" s="1" t="s">
        <v>46</v>
      </c>
    </row>
    <row r="100" spans="1:10" ht="27" x14ac:dyDescent="0.2">
      <c r="A100" s="3" t="str">
        <f>IF(F100="","",C100&amp;"_"&amp;TEXT(COUNTIFS($C$2:C100,C100,$F$2:F100,"&lt;&gt;"),"000"))</f>
        <v>RD_001</v>
      </c>
      <c r="B100" s="3" t="s">
        <v>70</v>
      </c>
      <c r="C100" s="3" t="s">
        <v>71</v>
      </c>
      <c r="D100" s="10">
        <v>45901</v>
      </c>
      <c r="E100" s="3" t="s">
        <v>298</v>
      </c>
      <c r="F100" s="2" t="s">
        <v>68</v>
      </c>
      <c r="G100" s="3" t="str" cm="1">
        <f t="array" ref="G100:I100">_xlfn.XLOOKUP($A100,Tagged_Batch!$A:$A,Tagged_Batch!$B:$D,"")</f>
        <v>Integrations</v>
      </c>
      <c r="H100" s="3" t="str">
        <v>Apple_Watch</v>
      </c>
      <c r="I100" s="3" t="str">
        <v>no</v>
      </c>
      <c r="J100" s="1" t="s">
        <v>69</v>
      </c>
    </row>
    <row r="101" spans="1:10" ht="53" x14ac:dyDescent="0.2">
      <c r="A101" s="3" t="str">
        <f>IF(F101="","",C101&amp;"_"&amp;TEXT(COUNTIFS($C$2:C101,C101,$F$2:F101,"&lt;&gt;"),"000"))</f>
        <v>RD_002</v>
      </c>
      <c r="B101" s="3" t="s">
        <v>70</v>
      </c>
      <c r="C101" s="3" t="s">
        <v>71</v>
      </c>
      <c r="D101" s="10">
        <v>45658</v>
      </c>
      <c r="E101" s="3" t="s">
        <v>298</v>
      </c>
      <c r="F101" s="2" t="s">
        <v>72</v>
      </c>
      <c r="G101" s="3" t="str" cm="1">
        <f t="array" ref="G101:I101">_xlfn.XLOOKUP($A101,Tagged_Batch!$A:$A,Tagged_Batch!$B:$D,"")</f>
        <v>Other</v>
      </c>
      <c r="H101" s="3" t="str">
        <v>Uncategorized</v>
      </c>
      <c r="I101" s="3" t="str">
        <v>no</v>
      </c>
      <c r="J101" s="1" t="s">
        <v>69</v>
      </c>
    </row>
    <row r="102" spans="1:10" ht="53" x14ac:dyDescent="0.2">
      <c r="A102" s="3" t="str">
        <f>IF(F102="","",C102&amp;"_"&amp;TEXT(COUNTIFS($C$2:C102,C102,$F$2:F102,"&lt;&gt;"),"000"))</f>
        <v>RD_003</v>
      </c>
      <c r="B102" s="3" t="s">
        <v>70</v>
      </c>
      <c r="C102" s="3" t="s">
        <v>71</v>
      </c>
      <c r="D102" s="10">
        <v>45717</v>
      </c>
      <c r="E102" s="3" t="s">
        <v>298</v>
      </c>
      <c r="F102" s="2" t="s">
        <v>73</v>
      </c>
      <c r="G102" s="3" t="str" cm="1">
        <f t="array" ref="G102:I102">_xlfn.XLOOKUP($A102,Tagged_Batch!$A:$A,Tagged_Batch!$B:$D,"")</f>
        <v>Bug</v>
      </c>
      <c r="H102" s="3" t="str">
        <v>Calendar</v>
      </c>
      <c r="I102" s="3" t="str">
        <v>no</v>
      </c>
      <c r="J102" s="1" t="s">
        <v>69</v>
      </c>
    </row>
    <row r="103" spans="1:10" ht="92" x14ac:dyDescent="0.2">
      <c r="A103" s="3" t="str">
        <f>IF(F103="","",C103&amp;"_"&amp;TEXT(COUNTIFS($C$2:C103,C103,$F$2:F103,"&lt;&gt;"),"000"))</f>
        <v>RD_004</v>
      </c>
      <c r="B103" s="3" t="s">
        <v>70</v>
      </c>
      <c r="C103" s="3" t="s">
        <v>71</v>
      </c>
      <c r="D103" s="10">
        <v>45658</v>
      </c>
      <c r="E103" s="3" t="s">
        <v>298</v>
      </c>
      <c r="F103" s="2" t="s">
        <v>74</v>
      </c>
      <c r="G103" s="3" t="str" cm="1">
        <f t="array" ref="G103:I103">_xlfn.XLOOKUP($A103,Tagged_Batch!$A:$A,Tagged_Batch!$B:$D,"")</f>
        <v>Bug</v>
      </c>
      <c r="H103" s="3" t="str">
        <v>Timers</v>
      </c>
      <c r="I103" s="3" t="str">
        <v>yes</v>
      </c>
      <c r="J103" s="1" t="s">
        <v>75</v>
      </c>
    </row>
    <row r="104" spans="1:10" ht="53" x14ac:dyDescent="0.2">
      <c r="A104" s="3" t="str">
        <f>IF(F104="","",C104&amp;"_"&amp;TEXT(COUNTIFS($C$2:C104,C104,$F$2:F104,"&lt;&gt;"),"000"))</f>
        <v>RD_005</v>
      </c>
      <c r="B104" s="3" t="s">
        <v>70</v>
      </c>
      <c r="C104" s="3" t="s">
        <v>71</v>
      </c>
      <c r="D104" s="10">
        <v>45717</v>
      </c>
      <c r="E104" s="3" t="s">
        <v>298</v>
      </c>
      <c r="F104" s="1" t="s">
        <v>122</v>
      </c>
      <c r="G104" s="3" t="str" cm="1">
        <f t="array" ref="G104:I104">_xlfn.XLOOKUP($A104,Tagged_Batch!$A:$A,Tagged_Batch!$B:$D,"")</f>
        <v>Feature_Request</v>
      </c>
      <c r="H104" s="3" t="str">
        <v>Routines</v>
      </c>
      <c r="I104" s="3" t="str">
        <v>no</v>
      </c>
      <c r="J104" s="1" t="s">
        <v>123</v>
      </c>
    </row>
    <row r="105" spans="1:10" ht="92" x14ac:dyDescent="0.2">
      <c r="A105" s="3" t="str">
        <f>IF(F105="","",C105&amp;"_"&amp;TEXT(COUNTIFS($C$2:C105,C105,$F$2:F105,"&lt;&gt;"),"000"))</f>
        <v>RD_006</v>
      </c>
      <c r="B105" s="3" t="s">
        <v>70</v>
      </c>
      <c r="C105" s="3" t="s">
        <v>71</v>
      </c>
      <c r="D105" s="10">
        <v>45992</v>
      </c>
      <c r="E105" s="3" t="s">
        <v>298</v>
      </c>
      <c r="F105" s="1" t="s">
        <v>124</v>
      </c>
      <c r="G105" s="3" t="str" cm="1">
        <f t="array" ref="G105:I105">_xlfn.XLOOKUP($A105,Tagged_Batch!$A:$A,Tagged_Batch!$B:$D,"")</f>
        <v>UI</v>
      </c>
      <c r="H105" s="3" t="str">
        <v>Uncategorized</v>
      </c>
      <c r="I105" s="3" t="str">
        <v>no</v>
      </c>
      <c r="J105" s="1" t="s">
        <v>125</v>
      </c>
    </row>
    <row r="106" spans="1:10" ht="40" x14ac:dyDescent="0.2">
      <c r="A106" s="3" t="str">
        <f>IF(F106="","",C106&amp;"_"&amp;TEXT(COUNTIFS($C$2:C106,C106,$F$2:F106,"&lt;&gt;"),"000"))</f>
        <v>RD_007</v>
      </c>
      <c r="B106" s="3" t="s">
        <v>70</v>
      </c>
      <c r="C106" s="3" t="s">
        <v>71</v>
      </c>
      <c r="D106" s="10">
        <v>45717</v>
      </c>
      <c r="E106" s="3" t="s">
        <v>298</v>
      </c>
      <c r="F106" s="1" t="s">
        <v>126</v>
      </c>
      <c r="G106" s="3" t="str" cm="1">
        <f t="array" ref="G106:I106">_xlfn.XLOOKUP($A106,Tagged_Batch!$A:$A,Tagged_Batch!$B:$D,"")</f>
        <v>Feature_Request</v>
      </c>
      <c r="H106" s="3" t="str">
        <v>Routines</v>
      </c>
      <c r="I106" s="3" t="str">
        <v>no</v>
      </c>
      <c r="J106" s="1" t="s">
        <v>127</v>
      </c>
    </row>
    <row r="107" spans="1:10" ht="92" x14ac:dyDescent="0.2">
      <c r="A107" s="3" t="str">
        <f>IF(F107="","",C107&amp;"_"&amp;TEXT(COUNTIFS($C$2:C107,C107,$F$2:F107,"&lt;&gt;"),"000"))</f>
        <v>RD_008</v>
      </c>
      <c r="B107" s="3" t="s">
        <v>70</v>
      </c>
      <c r="C107" s="3" t="s">
        <v>71</v>
      </c>
      <c r="D107" s="10">
        <v>45870</v>
      </c>
      <c r="E107" s="3" t="s">
        <v>298</v>
      </c>
      <c r="F107" s="1" t="s">
        <v>128</v>
      </c>
      <c r="G107" s="3" t="str" cm="1">
        <f t="array" ref="G107:I107">_xlfn.XLOOKUP($A107,Tagged_Batch!$A:$A,Tagged_Batch!$B:$D,"")</f>
        <v>Feature_Request</v>
      </c>
      <c r="H107" s="3" t="str">
        <v>Routines</v>
      </c>
      <c r="I107" s="3" t="str">
        <v>no</v>
      </c>
      <c r="J107" s="1" t="s">
        <v>129</v>
      </c>
    </row>
    <row r="108" spans="1:10" ht="92" x14ac:dyDescent="0.2">
      <c r="A108" s="3" t="str">
        <f>IF(F108="","",C108&amp;"_"&amp;TEXT(COUNTIFS($C$2:C108,C108,$F$2:F108,"&lt;&gt;"),"000"))</f>
        <v>RD_009</v>
      </c>
      <c r="B108" s="3" t="s">
        <v>70</v>
      </c>
      <c r="C108" s="3" t="s">
        <v>71</v>
      </c>
      <c r="D108" s="10">
        <v>45658</v>
      </c>
      <c r="E108" s="3" t="s">
        <v>298</v>
      </c>
      <c r="F108" s="1" t="s">
        <v>130</v>
      </c>
      <c r="G108" s="3" t="str" cm="1">
        <f t="array" ref="G108:I108">_xlfn.XLOOKUP($A108,Tagged_Batch!$A:$A,Tagged_Batch!$B:$D,"")</f>
        <v>Integrations</v>
      </c>
      <c r="H108" s="3" t="str">
        <v>Apple_Watch</v>
      </c>
      <c r="I108" s="3" t="str">
        <v>yes</v>
      </c>
      <c r="J108" s="1" t="s">
        <v>131</v>
      </c>
    </row>
    <row r="109" spans="1:10" ht="66" x14ac:dyDescent="0.2">
      <c r="A109" s="3" t="str">
        <f>IF(F109="","",C109&amp;"_"&amp;TEXT(COUNTIFS($C$2:C109,C109,$F$2:F109,"&lt;&gt;"),"000"))</f>
        <v>RD_010</v>
      </c>
      <c r="B109" s="3" t="s">
        <v>70</v>
      </c>
      <c r="C109" s="3" t="s">
        <v>71</v>
      </c>
      <c r="D109" s="10">
        <v>45658</v>
      </c>
      <c r="E109" s="3" t="s">
        <v>298</v>
      </c>
      <c r="F109" s="1" t="s">
        <v>132</v>
      </c>
      <c r="G109" s="3" t="str" cm="1">
        <f t="array" ref="G109:I109">_xlfn.XLOOKUP($A109,Tagged_Batch!$A:$A,Tagged_Batch!$B:$D,"")</f>
        <v>Feature_Request</v>
      </c>
      <c r="H109" s="3" t="str">
        <v>Routines</v>
      </c>
      <c r="I109" s="3" t="str">
        <v>no</v>
      </c>
      <c r="J109" s="1" t="s">
        <v>133</v>
      </c>
    </row>
    <row r="110" spans="1:10" ht="53" x14ac:dyDescent="0.2">
      <c r="A110" s="3" t="str">
        <f>IF(F110="","",C110&amp;"_"&amp;TEXT(COUNTIFS($C$2:C110,C110,$F$2:F110,"&lt;&gt;"),"000"))</f>
        <v>RD_011</v>
      </c>
      <c r="B110" s="3" t="s">
        <v>70</v>
      </c>
      <c r="C110" s="3" t="s">
        <v>71</v>
      </c>
      <c r="D110" s="10">
        <v>45717</v>
      </c>
      <c r="E110" s="3" t="s">
        <v>298</v>
      </c>
      <c r="F110" s="1" t="s">
        <v>134</v>
      </c>
      <c r="G110" s="3" t="str" cm="1">
        <f t="array" ref="G110:I110">_xlfn.XLOOKUP($A110,Tagged_Batch!$A:$A,Tagged_Batch!$B:$D,"")</f>
        <v>Feature_Request</v>
      </c>
      <c r="H110" s="3" t="str">
        <v>Routines</v>
      </c>
      <c r="I110" s="3" t="str">
        <v>no</v>
      </c>
      <c r="J110" s="1" t="s">
        <v>135</v>
      </c>
    </row>
    <row r="111" spans="1:10" ht="66" x14ac:dyDescent="0.2">
      <c r="A111" s="3" t="str">
        <f>IF(F111="","",C111&amp;"_"&amp;TEXT(COUNTIFS($C$2:C111,C111,$F$2:F111,"&lt;&gt;"),"000"))</f>
        <v>RD_012</v>
      </c>
      <c r="B111" s="3" t="s">
        <v>70</v>
      </c>
      <c r="C111" s="3" t="s">
        <v>71</v>
      </c>
      <c r="D111" s="10">
        <v>45778</v>
      </c>
      <c r="E111" s="3" t="s">
        <v>298</v>
      </c>
      <c r="F111" s="1" t="s">
        <v>136</v>
      </c>
      <c r="G111" s="3" t="str" cm="1">
        <f t="array" ref="G111:I111">_xlfn.XLOOKUP($A111,Tagged_Batch!$A:$A,Tagged_Batch!$B:$D,"")</f>
        <v>Feature_Request</v>
      </c>
      <c r="H111" s="3" t="str">
        <v>Routines</v>
      </c>
      <c r="I111" s="3" t="str">
        <v>yes</v>
      </c>
      <c r="J111" s="1" t="s">
        <v>137</v>
      </c>
    </row>
    <row r="112" spans="1:10" ht="92" x14ac:dyDescent="0.2">
      <c r="A112" s="3" t="str">
        <f>IF(F112="","",C112&amp;"_"&amp;TEXT(COUNTIFS($C$2:C112,C112,$F$2:F112,"&lt;&gt;"),"000"))</f>
        <v>RD_013</v>
      </c>
      <c r="B112" s="3" t="s">
        <v>70</v>
      </c>
      <c r="C112" s="3" t="s">
        <v>71</v>
      </c>
      <c r="D112" s="10">
        <v>45658</v>
      </c>
      <c r="E112" s="3" t="s">
        <v>298</v>
      </c>
      <c r="F112" s="1" t="s">
        <v>130</v>
      </c>
      <c r="G112" s="3" t="str" cm="1">
        <f t="array" ref="G112:I112">_xlfn.XLOOKUP($A112,Tagged_Batch!$A:$A,Tagged_Batch!$B:$D,"")</f>
        <v>Feature_Request</v>
      </c>
      <c r="H112" s="3" t="str">
        <v>Routines</v>
      </c>
      <c r="I112" s="3" t="str">
        <v>yes</v>
      </c>
      <c r="J112" s="1" t="s">
        <v>131</v>
      </c>
    </row>
    <row r="113" spans="1:10" ht="53" x14ac:dyDescent="0.2">
      <c r="A113" s="3" t="str">
        <f>IF(F113="","",C113&amp;"_"&amp;TEXT(COUNTIFS($C$2:C113,C113,$F$2:F113,"&lt;&gt;"),"000"))</f>
        <v>RD_014</v>
      </c>
      <c r="B113" s="3" t="s">
        <v>70</v>
      </c>
      <c r="C113" s="3" t="s">
        <v>71</v>
      </c>
      <c r="D113" s="10">
        <v>45717</v>
      </c>
      <c r="E113" s="3" t="s">
        <v>298</v>
      </c>
      <c r="F113" s="1" t="s">
        <v>122</v>
      </c>
      <c r="G113" s="3" t="str" cm="1">
        <f t="array" ref="G113:I113">_xlfn.XLOOKUP($A113,Tagged_Batch!$A:$A,Tagged_Batch!$B:$D,"")</f>
        <v>Bug</v>
      </c>
      <c r="H113" s="3" t="str">
        <v>Uncategorized</v>
      </c>
      <c r="I113" s="3" t="str">
        <v>no</v>
      </c>
      <c r="J113" s="1" t="s">
        <v>123</v>
      </c>
    </row>
    <row r="114" spans="1:10" ht="66" x14ac:dyDescent="0.2">
      <c r="A114" s="3" t="str">
        <f>IF(F114="","",C114&amp;"_"&amp;TEXT(COUNTIFS($C$2:C114,C114,$F$2:F114,"&lt;&gt;"),"000"))</f>
        <v>TP_001</v>
      </c>
      <c r="B114" s="3" t="s">
        <v>78</v>
      </c>
      <c r="C114" s="3" t="s">
        <v>79</v>
      </c>
      <c r="D114" s="10">
        <v>46042</v>
      </c>
      <c r="E114" s="3">
        <v>1</v>
      </c>
      <c r="F114" s="2" t="s">
        <v>76</v>
      </c>
      <c r="G114" s="3" t="str" cm="1">
        <f t="array" ref="G114:I114">_xlfn.XLOOKUP($A114,Tagged_Batch!$A:$A,Tagged_Batch!$B:$D,"")</f>
        <v>Subscription</v>
      </c>
      <c r="H114" s="3" t="str">
        <v>Refund</v>
      </c>
      <c r="I114" s="3" t="str">
        <v>yes</v>
      </c>
      <c r="J114" s="1" t="s">
        <v>77</v>
      </c>
    </row>
  </sheetData>
  <autoFilter ref="H1:H114" xr:uid="{ABC10AEF-0DE4-BC4C-A1A3-82EC154536EF}"/>
  <sortState xmlns:xlrd2="http://schemas.microsoft.com/office/spreadsheetml/2017/richdata2" ref="A2:J114">
    <sortCondition ref="A1:A114"/>
  </sortState>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2986-FA9A-6342-9636-039BA308EF91}">
  <dimension ref="A1:G114"/>
  <sheetViews>
    <sheetView topLeftCell="A35" zoomScale="120" zoomScaleNormal="120" workbookViewId="0">
      <selection activeCell="A51" sqref="A51"/>
    </sheetView>
  </sheetViews>
  <sheetFormatPr baseColWidth="10" defaultRowHeight="16" x14ac:dyDescent="0.2"/>
  <cols>
    <col min="2" max="2" width="16.33203125" customWidth="1"/>
    <col min="3" max="3" width="14.83203125" customWidth="1"/>
    <col min="6" max="6" width="14.83203125" customWidth="1"/>
  </cols>
  <sheetData>
    <row r="1" spans="1:7" s="8" customFormat="1" ht="36" customHeight="1" x14ac:dyDescent="0.2">
      <c r="A1" s="8" t="s">
        <v>2</v>
      </c>
      <c r="B1" s="8" t="s">
        <v>173</v>
      </c>
      <c r="C1" s="8" t="s">
        <v>256</v>
      </c>
      <c r="D1" s="8" t="s">
        <v>4</v>
      </c>
    </row>
    <row r="2" spans="1:7" x14ac:dyDescent="0.2">
      <c r="A2" t="s">
        <v>226</v>
      </c>
      <c r="B2" t="s">
        <v>269</v>
      </c>
      <c r="C2" t="s">
        <v>289</v>
      </c>
      <c r="D2" t="s">
        <v>50</v>
      </c>
      <c r="G2" s="8"/>
    </row>
    <row r="3" spans="1:7" x14ac:dyDescent="0.2">
      <c r="A3" t="s">
        <v>227</v>
      </c>
      <c r="B3" t="s">
        <v>269</v>
      </c>
      <c r="C3" t="s">
        <v>268</v>
      </c>
      <c r="D3" t="s">
        <v>50</v>
      </c>
      <c r="G3" s="8"/>
    </row>
    <row r="4" spans="1:7" x14ac:dyDescent="0.2">
      <c r="A4" t="s">
        <v>228</v>
      </c>
      <c r="B4" t="s">
        <v>269</v>
      </c>
      <c r="C4" t="s">
        <v>175</v>
      </c>
      <c r="D4" t="s">
        <v>50</v>
      </c>
      <c r="G4" s="8"/>
    </row>
    <row r="5" spans="1:7" x14ac:dyDescent="0.2">
      <c r="A5" t="s">
        <v>229</v>
      </c>
      <c r="B5" t="s">
        <v>178</v>
      </c>
      <c r="C5" t="s">
        <v>262</v>
      </c>
      <c r="D5" t="s">
        <v>48</v>
      </c>
      <c r="G5" s="8"/>
    </row>
    <row r="6" spans="1:7" x14ac:dyDescent="0.2">
      <c r="A6" t="s">
        <v>230</v>
      </c>
      <c r="B6" t="s">
        <v>175</v>
      </c>
      <c r="C6" t="s">
        <v>177</v>
      </c>
      <c r="D6" t="s">
        <v>50</v>
      </c>
      <c r="G6" s="8"/>
    </row>
    <row r="7" spans="1:7" x14ac:dyDescent="0.2">
      <c r="A7" t="s">
        <v>231</v>
      </c>
      <c r="B7" t="s">
        <v>176</v>
      </c>
      <c r="C7" t="s">
        <v>283</v>
      </c>
      <c r="D7" t="s">
        <v>50</v>
      </c>
      <c r="G7" s="8"/>
    </row>
    <row r="8" spans="1:7" x14ac:dyDescent="0.2">
      <c r="A8" t="s">
        <v>232</v>
      </c>
      <c r="B8" t="s">
        <v>178</v>
      </c>
      <c r="C8" t="s">
        <v>264</v>
      </c>
      <c r="D8" t="s">
        <v>48</v>
      </c>
    </row>
    <row r="9" spans="1:7" x14ac:dyDescent="0.2">
      <c r="A9" t="s">
        <v>233</v>
      </c>
      <c r="B9" t="s">
        <v>175</v>
      </c>
      <c r="C9" t="s">
        <v>220</v>
      </c>
      <c r="D9" t="s">
        <v>48</v>
      </c>
    </row>
    <row r="10" spans="1:7" x14ac:dyDescent="0.2">
      <c r="A10" t="s">
        <v>234</v>
      </c>
      <c r="B10" t="s">
        <v>178</v>
      </c>
      <c r="C10" t="s">
        <v>264</v>
      </c>
      <c r="D10" t="s">
        <v>50</v>
      </c>
    </row>
    <row r="11" spans="1:7" x14ac:dyDescent="0.2">
      <c r="A11" t="s">
        <v>235</v>
      </c>
      <c r="B11" t="s">
        <v>258</v>
      </c>
      <c r="C11" t="s">
        <v>266</v>
      </c>
      <c r="D11" t="s">
        <v>50</v>
      </c>
    </row>
    <row r="12" spans="1:7" x14ac:dyDescent="0.2">
      <c r="A12" t="s">
        <v>290</v>
      </c>
      <c r="B12" t="s">
        <v>269</v>
      </c>
      <c r="C12" t="s">
        <v>289</v>
      </c>
      <c r="D12" t="s">
        <v>48</v>
      </c>
    </row>
    <row r="13" spans="1:7" x14ac:dyDescent="0.2">
      <c r="A13" t="s">
        <v>291</v>
      </c>
      <c r="B13" t="s">
        <v>178</v>
      </c>
      <c r="C13" t="s">
        <v>264</v>
      </c>
      <c r="D13" t="s">
        <v>48</v>
      </c>
    </row>
    <row r="14" spans="1:7" x14ac:dyDescent="0.2">
      <c r="A14" t="s">
        <v>275</v>
      </c>
      <c r="B14" t="s">
        <v>259</v>
      </c>
      <c r="C14" t="s">
        <v>257</v>
      </c>
      <c r="D14" t="s">
        <v>50</v>
      </c>
    </row>
    <row r="15" spans="1:7" x14ac:dyDescent="0.2">
      <c r="A15" t="s">
        <v>276</v>
      </c>
      <c r="B15" t="s">
        <v>259</v>
      </c>
      <c r="C15" t="s">
        <v>257</v>
      </c>
      <c r="D15" t="s">
        <v>48</v>
      </c>
    </row>
    <row r="16" spans="1:7" x14ac:dyDescent="0.2">
      <c r="A16" t="s">
        <v>277</v>
      </c>
      <c r="B16" t="s">
        <v>176</v>
      </c>
      <c r="C16" t="s">
        <v>283</v>
      </c>
      <c r="D16" t="s">
        <v>48</v>
      </c>
    </row>
    <row r="17" spans="1:4" x14ac:dyDescent="0.2">
      <c r="A17" t="s">
        <v>280</v>
      </c>
      <c r="B17" t="s">
        <v>176</v>
      </c>
      <c r="C17" t="s">
        <v>283</v>
      </c>
      <c r="D17" t="s">
        <v>50</v>
      </c>
    </row>
    <row r="18" spans="1:4" x14ac:dyDescent="0.2">
      <c r="A18" t="s">
        <v>236</v>
      </c>
      <c r="B18" t="s">
        <v>175</v>
      </c>
      <c r="C18" t="s">
        <v>283</v>
      </c>
      <c r="D18" t="s">
        <v>50</v>
      </c>
    </row>
    <row r="19" spans="1:4" x14ac:dyDescent="0.2">
      <c r="A19" t="s">
        <v>237</v>
      </c>
      <c r="B19" t="s">
        <v>178</v>
      </c>
      <c r="C19" t="s">
        <v>264</v>
      </c>
      <c r="D19" t="s">
        <v>50</v>
      </c>
    </row>
    <row r="20" spans="1:4" x14ac:dyDescent="0.2">
      <c r="A20" t="s">
        <v>238</v>
      </c>
      <c r="B20" t="s">
        <v>175</v>
      </c>
      <c r="C20" t="s">
        <v>177</v>
      </c>
      <c r="D20" t="s">
        <v>48</v>
      </c>
    </row>
    <row r="21" spans="1:4" x14ac:dyDescent="0.2">
      <c r="A21" t="s">
        <v>239</v>
      </c>
      <c r="B21" t="s">
        <v>175</v>
      </c>
      <c r="C21" t="s">
        <v>220</v>
      </c>
      <c r="D21" t="s">
        <v>50</v>
      </c>
    </row>
    <row r="22" spans="1:4" x14ac:dyDescent="0.2">
      <c r="A22" t="s">
        <v>240</v>
      </c>
      <c r="B22" t="s">
        <v>259</v>
      </c>
      <c r="C22" t="s">
        <v>257</v>
      </c>
      <c r="D22" t="s">
        <v>50</v>
      </c>
    </row>
    <row r="23" spans="1:4" x14ac:dyDescent="0.2">
      <c r="A23" t="s">
        <v>241</v>
      </c>
      <c r="B23" t="s">
        <v>259</v>
      </c>
      <c r="C23" t="s">
        <v>257</v>
      </c>
      <c r="D23" t="s">
        <v>50</v>
      </c>
    </row>
    <row r="24" spans="1:4" x14ac:dyDescent="0.2">
      <c r="A24" t="s">
        <v>242</v>
      </c>
      <c r="B24" t="s">
        <v>178</v>
      </c>
      <c r="C24" t="s">
        <v>267</v>
      </c>
      <c r="D24" t="s">
        <v>50</v>
      </c>
    </row>
    <row r="25" spans="1:4" x14ac:dyDescent="0.2">
      <c r="A25" t="s">
        <v>243</v>
      </c>
      <c r="B25" t="s">
        <v>259</v>
      </c>
      <c r="C25" t="s">
        <v>257</v>
      </c>
      <c r="D25" t="s">
        <v>48</v>
      </c>
    </row>
    <row r="26" spans="1:4" x14ac:dyDescent="0.2">
      <c r="A26" t="s">
        <v>244</v>
      </c>
      <c r="B26" t="s">
        <v>259</v>
      </c>
      <c r="C26" t="s">
        <v>257</v>
      </c>
      <c r="D26" t="s">
        <v>50</v>
      </c>
    </row>
    <row r="27" spans="1:4" x14ac:dyDescent="0.2">
      <c r="A27" t="s">
        <v>245</v>
      </c>
      <c r="B27" t="s">
        <v>178</v>
      </c>
      <c r="C27" t="s">
        <v>262</v>
      </c>
      <c r="D27" t="s">
        <v>48</v>
      </c>
    </row>
    <row r="28" spans="1:4" x14ac:dyDescent="0.2">
      <c r="A28" t="s">
        <v>246</v>
      </c>
      <c r="B28" t="s">
        <v>259</v>
      </c>
      <c r="C28" t="s">
        <v>257</v>
      </c>
      <c r="D28" t="s">
        <v>50</v>
      </c>
    </row>
    <row r="29" spans="1:4" x14ac:dyDescent="0.2">
      <c r="A29" t="s">
        <v>247</v>
      </c>
      <c r="B29" t="s">
        <v>259</v>
      </c>
      <c r="C29" t="s">
        <v>257</v>
      </c>
      <c r="D29" t="s">
        <v>50</v>
      </c>
    </row>
    <row r="30" spans="1:4" x14ac:dyDescent="0.2">
      <c r="A30" t="s">
        <v>248</v>
      </c>
      <c r="B30" t="s">
        <v>269</v>
      </c>
      <c r="C30" t="s">
        <v>175</v>
      </c>
      <c r="D30" t="s">
        <v>50</v>
      </c>
    </row>
    <row r="31" spans="1:4" x14ac:dyDescent="0.2">
      <c r="A31" t="s">
        <v>249</v>
      </c>
      <c r="B31" t="s">
        <v>269</v>
      </c>
      <c r="C31" t="s">
        <v>175</v>
      </c>
      <c r="D31" t="s">
        <v>50</v>
      </c>
    </row>
    <row r="32" spans="1:4" x14ac:dyDescent="0.2">
      <c r="A32" t="s">
        <v>250</v>
      </c>
      <c r="B32" t="s">
        <v>258</v>
      </c>
      <c r="C32" t="s">
        <v>266</v>
      </c>
      <c r="D32" t="s">
        <v>48</v>
      </c>
    </row>
    <row r="33" spans="1:4" x14ac:dyDescent="0.2">
      <c r="A33" t="s">
        <v>251</v>
      </c>
      <c r="B33" t="s">
        <v>175</v>
      </c>
      <c r="C33" t="s">
        <v>283</v>
      </c>
      <c r="D33" t="s">
        <v>48</v>
      </c>
    </row>
    <row r="34" spans="1:4" x14ac:dyDescent="0.2">
      <c r="A34" t="s">
        <v>252</v>
      </c>
      <c r="B34" t="s">
        <v>175</v>
      </c>
      <c r="C34" t="s">
        <v>283</v>
      </c>
      <c r="D34" t="s">
        <v>48</v>
      </c>
    </row>
    <row r="35" spans="1:4" x14ac:dyDescent="0.2">
      <c r="A35" t="s">
        <v>253</v>
      </c>
      <c r="B35" t="s">
        <v>178</v>
      </c>
      <c r="C35" t="s">
        <v>264</v>
      </c>
      <c r="D35" t="s">
        <v>48</v>
      </c>
    </row>
    <row r="36" spans="1:4" x14ac:dyDescent="0.2">
      <c r="A36" t="s">
        <v>254</v>
      </c>
      <c r="B36" t="s">
        <v>178</v>
      </c>
      <c r="C36" t="s">
        <v>264</v>
      </c>
      <c r="D36" t="s">
        <v>48</v>
      </c>
    </row>
    <row r="37" spans="1:4" x14ac:dyDescent="0.2">
      <c r="A37" t="s">
        <v>255</v>
      </c>
      <c r="B37" t="s">
        <v>269</v>
      </c>
      <c r="C37" t="s">
        <v>283</v>
      </c>
      <c r="D37" t="s">
        <v>48</v>
      </c>
    </row>
    <row r="38" spans="1:4" x14ac:dyDescent="0.2">
      <c r="A38" t="s">
        <v>292</v>
      </c>
      <c r="B38" t="s">
        <v>175</v>
      </c>
      <c r="C38" t="s">
        <v>177</v>
      </c>
      <c r="D38" t="s">
        <v>50</v>
      </c>
    </row>
    <row r="39" spans="1:4" x14ac:dyDescent="0.2">
      <c r="A39" t="s">
        <v>293</v>
      </c>
      <c r="B39" t="s">
        <v>269</v>
      </c>
      <c r="C39" t="s">
        <v>294</v>
      </c>
      <c r="D39" t="s">
        <v>48</v>
      </c>
    </row>
    <row r="40" spans="1:4" x14ac:dyDescent="0.2">
      <c r="A40" t="s">
        <v>295</v>
      </c>
      <c r="B40" t="s">
        <v>269</v>
      </c>
      <c r="C40" t="s">
        <v>268</v>
      </c>
      <c r="D40" t="s">
        <v>50</v>
      </c>
    </row>
    <row r="41" spans="1:4" x14ac:dyDescent="0.2">
      <c r="A41" t="s">
        <v>296</v>
      </c>
      <c r="B41" t="s">
        <v>269</v>
      </c>
      <c r="C41" t="s">
        <v>268</v>
      </c>
      <c r="D41" t="s">
        <v>48</v>
      </c>
    </row>
    <row r="42" spans="1:4" x14ac:dyDescent="0.2">
      <c r="A42" t="s">
        <v>297</v>
      </c>
      <c r="B42" t="s">
        <v>269</v>
      </c>
      <c r="C42" t="s">
        <v>283</v>
      </c>
      <c r="D42" t="s">
        <v>48</v>
      </c>
    </row>
    <row r="43" spans="1:4" x14ac:dyDescent="0.2">
      <c r="A43" t="s">
        <v>179</v>
      </c>
      <c r="B43" t="s">
        <v>178</v>
      </c>
      <c r="C43" t="s">
        <v>262</v>
      </c>
      <c r="D43" t="s">
        <v>48</v>
      </c>
    </row>
    <row r="44" spans="1:4" x14ac:dyDescent="0.2">
      <c r="A44" t="s">
        <v>180</v>
      </c>
      <c r="B44" t="s">
        <v>178</v>
      </c>
      <c r="C44" t="s">
        <v>283</v>
      </c>
      <c r="D44" t="s">
        <v>50</v>
      </c>
    </row>
    <row r="45" spans="1:4" x14ac:dyDescent="0.2">
      <c r="A45" t="s">
        <v>181</v>
      </c>
      <c r="B45" t="s">
        <v>174</v>
      </c>
      <c r="C45" t="s">
        <v>263</v>
      </c>
      <c r="D45" t="s">
        <v>50</v>
      </c>
    </row>
    <row r="46" spans="1:4" x14ac:dyDescent="0.2">
      <c r="A46" t="s">
        <v>182</v>
      </c>
      <c r="B46" t="s">
        <v>269</v>
      </c>
      <c r="C46" t="s">
        <v>268</v>
      </c>
      <c r="D46" t="s">
        <v>50</v>
      </c>
    </row>
    <row r="47" spans="1:4" x14ac:dyDescent="0.2">
      <c r="A47" t="s">
        <v>183</v>
      </c>
      <c r="B47" t="s">
        <v>174</v>
      </c>
      <c r="C47" t="s">
        <v>260</v>
      </c>
      <c r="D47" t="s">
        <v>48</v>
      </c>
    </row>
    <row r="48" spans="1:4" x14ac:dyDescent="0.2">
      <c r="A48" t="s">
        <v>184</v>
      </c>
      <c r="B48" t="s">
        <v>176</v>
      </c>
      <c r="C48" t="s">
        <v>283</v>
      </c>
      <c r="D48" t="s">
        <v>50</v>
      </c>
    </row>
    <row r="49" spans="1:4" x14ac:dyDescent="0.2">
      <c r="A49" t="s">
        <v>185</v>
      </c>
      <c r="B49" t="s">
        <v>174</v>
      </c>
      <c r="C49" t="s">
        <v>263</v>
      </c>
      <c r="D49" t="s">
        <v>50</v>
      </c>
    </row>
    <row r="50" spans="1:4" x14ac:dyDescent="0.2">
      <c r="A50" t="s">
        <v>186</v>
      </c>
      <c r="B50" t="s">
        <v>269</v>
      </c>
      <c r="C50" t="s">
        <v>283</v>
      </c>
      <c r="D50" t="s">
        <v>48</v>
      </c>
    </row>
    <row r="51" spans="1:4" x14ac:dyDescent="0.2">
      <c r="A51" t="s">
        <v>187</v>
      </c>
      <c r="B51" t="s">
        <v>174</v>
      </c>
      <c r="C51" t="s">
        <v>104</v>
      </c>
      <c r="D51" t="s">
        <v>50</v>
      </c>
    </row>
    <row r="52" spans="1:4" x14ac:dyDescent="0.2">
      <c r="A52" t="s">
        <v>188</v>
      </c>
      <c r="B52" t="s">
        <v>176</v>
      </c>
      <c r="C52" t="s">
        <v>283</v>
      </c>
      <c r="D52" t="s">
        <v>50</v>
      </c>
    </row>
    <row r="53" spans="1:4" x14ac:dyDescent="0.2">
      <c r="A53" t="s">
        <v>189</v>
      </c>
      <c r="B53" t="s">
        <v>259</v>
      </c>
      <c r="C53" t="s">
        <v>257</v>
      </c>
      <c r="D53" t="s">
        <v>50</v>
      </c>
    </row>
    <row r="54" spans="1:4" x14ac:dyDescent="0.2">
      <c r="A54" t="s">
        <v>190</v>
      </c>
      <c r="B54" t="s">
        <v>259</v>
      </c>
      <c r="C54" t="s">
        <v>257</v>
      </c>
      <c r="D54" t="s">
        <v>50</v>
      </c>
    </row>
    <row r="55" spans="1:4" x14ac:dyDescent="0.2">
      <c r="A55" t="s">
        <v>191</v>
      </c>
      <c r="B55" t="s">
        <v>259</v>
      </c>
      <c r="C55" t="s">
        <v>257</v>
      </c>
      <c r="D55" t="s">
        <v>48</v>
      </c>
    </row>
    <row r="56" spans="1:4" x14ac:dyDescent="0.2">
      <c r="A56" t="s">
        <v>192</v>
      </c>
      <c r="B56" t="s">
        <v>259</v>
      </c>
      <c r="C56" t="s">
        <v>287</v>
      </c>
      <c r="D56" t="s">
        <v>50</v>
      </c>
    </row>
    <row r="57" spans="1:4" x14ac:dyDescent="0.2">
      <c r="A57" t="s">
        <v>193</v>
      </c>
      <c r="B57" t="s">
        <v>174</v>
      </c>
      <c r="C57" t="s">
        <v>260</v>
      </c>
      <c r="D57" t="s">
        <v>50</v>
      </c>
    </row>
    <row r="58" spans="1:4" x14ac:dyDescent="0.2">
      <c r="A58" t="s">
        <v>194</v>
      </c>
      <c r="B58" t="s">
        <v>178</v>
      </c>
      <c r="C58" t="s">
        <v>264</v>
      </c>
      <c r="D58" t="s">
        <v>50</v>
      </c>
    </row>
    <row r="59" spans="1:4" x14ac:dyDescent="0.2">
      <c r="A59" t="s">
        <v>195</v>
      </c>
      <c r="B59" t="s">
        <v>259</v>
      </c>
      <c r="C59" t="s">
        <v>257</v>
      </c>
      <c r="D59" t="s">
        <v>50</v>
      </c>
    </row>
    <row r="60" spans="1:4" x14ac:dyDescent="0.2">
      <c r="A60" t="s">
        <v>196</v>
      </c>
      <c r="B60" t="s">
        <v>259</v>
      </c>
      <c r="C60" t="s">
        <v>257</v>
      </c>
      <c r="D60" t="s">
        <v>50</v>
      </c>
    </row>
    <row r="61" spans="1:4" x14ac:dyDescent="0.2">
      <c r="A61" t="s">
        <v>197</v>
      </c>
      <c r="B61" t="s">
        <v>259</v>
      </c>
      <c r="C61" t="s">
        <v>257</v>
      </c>
      <c r="D61" t="s">
        <v>50</v>
      </c>
    </row>
    <row r="62" spans="1:4" x14ac:dyDescent="0.2">
      <c r="A62" t="s">
        <v>198</v>
      </c>
      <c r="B62" t="s">
        <v>269</v>
      </c>
      <c r="C62" t="s">
        <v>175</v>
      </c>
      <c r="D62" t="s">
        <v>48</v>
      </c>
    </row>
    <row r="63" spans="1:4" x14ac:dyDescent="0.2">
      <c r="A63" t="s">
        <v>199</v>
      </c>
      <c r="B63" s="12" t="s">
        <v>259</v>
      </c>
      <c r="C63" t="s">
        <v>257</v>
      </c>
      <c r="D63" t="s">
        <v>50</v>
      </c>
    </row>
    <row r="64" spans="1:4" x14ac:dyDescent="0.2">
      <c r="A64" t="s">
        <v>200</v>
      </c>
      <c r="B64" t="s">
        <v>175</v>
      </c>
      <c r="C64" t="s">
        <v>177</v>
      </c>
      <c r="D64" t="s">
        <v>50</v>
      </c>
    </row>
    <row r="65" spans="1:4" x14ac:dyDescent="0.2">
      <c r="A65" t="s">
        <v>201</v>
      </c>
      <c r="B65" t="s">
        <v>269</v>
      </c>
      <c r="C65" t="s">
        <v>175</v>
      </c>
      <c r="D65" t="s">
        <v>48</v>
      </c>
    </row>
    <row r="66" spans="1:4" x14ac:dyDescent="0.2">
      <c r="A66" t="s">
        <v>202</v>
      </c>
      <c r="B66" t="s">
        <v>174</v>
      </c>
      <c r="C66" t="s">
        <v>265</v>
      </c>
      <c r="D66" t="s">
        <v>48</v>
      </c>
    </row>
    <row r="67" spans="1:4" x14ac:dyDescent="0.2">
      <c r="A67" t="s">
        <v>204</v>
      </c>
      <c r="B67" t="s">
        <v>269</v>
      </c>
      <c r="C67" t="s">
        <v>175</v>
      </c>
      <c r="D67" t="s">
        <v>48</v>
      </c>
    </row>
    <row r="68" spans="1:4" x14ac:dyDescent="0.2">
      <c r="A68" t="s">
        <v>205</v>
      </c>
      <c r="B68" t="s">
        <v>269</v>
      </c>
      <c r="C68" t="s">
        <v>268</v>
      </c>
      <c r="D68" t="s">
        <v>50</v>
      </c>
    </row>
    <row r="69" spans="1:4" x14ac:dyDescent="0.2">
      <c r="A69" t="s">
        <v>206</v>
      </c>
      <c r="B69" t="s">
        <v>258</v>
      </c>
      <c r="C69" t="s">
        <v>266</v>
      </c>
      <c r="D69" t="s">
        <v>50</v>
      </c>
    </row>
    <row r="70" spans="1:4" x14ac:dyDescent="0.2">
      <c r="A70" t="s">
        <v>207</v>
      </c>
      <c r="B70" t="s">
        <v>174</v>
      </c>
      <c r="C70" t="s">
        <v>268</v>
      </c>
      <c r="D70" t="s">
        <v>48</v>
      </c>
    </row>
    <row r="71" spans="1:4" x14ac:dyDescent="0.2">
      <c r="A71" t="s">
        <v>208</v>
      </c>
      <c r="B71" t="s">
        <v>258</v>
      </c>
      <c r="C71" t="s">
        <v>266</v>
      </c>
      <c r="D71" t="s">
        <v>48</v>
      </c>
    </row>
    <row r="72" spans="1:4" x14ac:dyDescent="0.2">
      <c r="A72" t="s">
        <v>209</v>
      </c>
      <c r="B72" t="s">
        <v>178</v>
      </c>
      <c r="C72" t="s">
        <v>261</v>
      </c>
      <c r="D72" t="s">
        <v>48</v>
      </c>
    </row>
    <row r="73" spans="1:4" x14ac:dyDescent="0.2">
      <c r="A73" t="s">
        <v>210</v>
      </c>
      <c r="B73" t="s">
        <v>269</v>
      </c>
      <c r="C73" t="s">
        <v>268</v>
      </c>
      <c r="D73" t="s">
        <v>50</v>
      </c>
    </row>
    <row r="74" spans="1:4" x14ac:dyDescent="0.2">
      <c r="A74" t="s">
        <v>211</v>
      </c>
      <c r="B74" t="s">
        <v>269</v>
      </c>
      <c r="C74" t="s">
        <v>257</v>
      </c>
      <c r="D74" t="s">
        <v>50</v>
      </c>
    </row>
    <row r="75" spans="1:4" x14ac:dyDescent="0.2">
      <c r="A75" t="s">
        <v>212</v>
      </c>
      <c r="B75" t="s">
        <v>269</v>
      </c>
      <c r="C75" t="s">
        <v>268</v>
      </c>
      <c r="D75" t="s">
        <v>48</v>
      </c>
    </row>
    <row r="76" spans="1:4" x14ac:dyDescent="0.2">
      <c r="A76" t="s">
        <v>213</v>
      </c>
      <c r="B76" t="s">
        <v>269</v>
      </c>
      <c r="C76" t="s">
        <v>175</v>
      </c>
      <c r="D76" t="s">
        <v>50</v>
      </c>
    </row>
    <row r="77" spans="1:4" x14ac:dyDescent="0.2">
      <c r="A77" t="s">
        <v>214</v>
      </c>
      <c r="B77" t="s">
        <v>258</v>
      </c>
      <c r="C77" t="s">
        <v>266</v>
      </c>
      <c r="D77" t="s">
        <v>48</v>
      </c>
    </row>
    <row r="78" spans="1:4" x14ac:dyDescent="0.2">
      <c r="A78" t="s">
        <v>286</v>
      </c>
      <c r="B78" t="s">
        <v>269</v>
      </c>
      <c r="C78" t="s">
        <v>268</v>
      </c>
      <c r="D78" t="s">
        <v>50</v>
      </c>
    </row>
    <row r="79" spans="1:4" x14ac:dyDescent="0.2">
      <c r="A79" t="s">
        <v>215</v>
      </c>
      <c r="B79" t="s">
        <v>176</v>
      </c>
      <c r="C79" t="s">
        <v>283</v>
      </c>
      <c r="D79" t="s">
        <v>50</v>
      </c>
    </row>
    <row r="80" spans="1:4" x14ac:dyDescent="0.2">
      <c r="A80" t="s">
        <v>216</v>
      </c>
      <c r="B80" t="s">
        <v>178</v>
      </c>
      <c r="C80" t="s">
        <v>261</v>
      </c>
      <c r="D80" t="s">
        <v>50</v>
      </c>
    </row>
    <row r="81" spans="1:4" x14ac:dyDescent="0.2">
      <c r="A81" t="s">
        <v>47</v>
      </c>
      <c r="B81" t="s">
        <v>259</v>
      </c>
      <c r="C81" t="s">
        <v>257</v>
      </c>
      <c r="D81" t="s">
        <v>50</v>
      </c>
    </row>
    <row r="82" spans="1:4" x14ac:dyDescent="0.2">
      <c r="A82" t="s">
        <v>49</v>
      </c>
      <c r="B82" t="s">
        <v>259</v>
      </c>
      <c r="C82" t="s">
        <v>283</v>
      </c>
      <c r="D82" t="s">
        <v>50</v>
      </c>
    </row>
    <row r="83" spans="1:4" x14ac:dyDescent="0.2">
      <c r="A83" t="s">
        <v>51</v>
      </c>
      <c r="B83" t="s">
        <v>176</v>
      </c>
      <c r="C83" t="s">
        <v>283</v>
      </c>
      <c r="D83" t="s">
        <v>50</v>
      </c>
    </row>
    <row r="84" spans="1:4" x14ac:dyDescent="0.2">
      <c r="A84" t="s">
        <v>52</v>
      </c>
      <c r="B84" t="s">
        <v>259</v>
      </c>
      <c r="C84" t="s">
        <v>257</v>
      </c>
      <c r="D84" t="s">
        <v>50</v>
      </c>
    </row>
    <row r="85" spans="1:4" x14ac:dyDescent="0.2">
      <c r="A85" t="s">
        <v>53</v>
      </c>
      <c r="B85" t="s">
        <v>259</v>
      </c>
      <c r="C85" t="s">
        <v>284</v>
      </c>
      <c r="D85" t="s">
        <v>50</v>
      </c>
    </row>
    <row r="86" spans="1:4" x14ac:dyDescent="0.2">
      <c r="A86" t="s">
        <v>54</v>
      </c>
      <c r="B86" t="s">
        <v>259</v>
      </c>
      <c r="C86" t="s">
        <v>283</v>
      </c>
      <c r="D86" t="s">
        <v>50</v>
      </c>
    </row>
    <row r="87" spans="1:4" x14ac:dyDescent="0.2">
      <c r="A87" t="s">
        <v>55</v>
      </c>
      <c r="B87" t="s">
        <v>259</v>
      </c>
      <c r="C87" t="s">
        <v>257</v>
      </c>
      <c r="D87" t="s">
        <v>50</v>
      </c>
    </row>
    <row r="88" spans="1:4" x14ac:dyDescent="0.2">
      <c r="A88" t="s">
        <v>56</v>
      </c>
      <c r="B88" t="s">
        <v>269</v>
      </c>
      <c r="C88" t="s">
        <v>203</v>
      </c>
      <c r="D88" t="s">
        <v>50</v>
      </c>
    </row>
    <row r="89" spans="1:4" x14ac:dyDescent="0.2">
      <c r="A89" t="s">
        <v>57</v>
      </c>
      <c r="B89" t="s">
        <v>178</v>
      </c>
      <c r="C89" t="s">
        <v>264</v>
      </c>
      <c r="D89" t="s">
        <v>50</v>
      </c>
    </row>
    <row r="90" spans="1:4" x14ac:dyDescent="0.2">
      <c r="A90" t="s">
        <v>58</v>
      </c>
      <c r="B90" t="s">
        <v>178</v>
      </c>
      <c r="C90" t="s">
        <v>283</v>
      </c>
      <c r="D90" t="s">
        <v>50</v>
      </c>
    </row>
    <row r="91" spans="1:4" x14ac:dyDescent="0.2">
      <c r="A91" t="s">
        <v>59</v>
      </c>
      <c r="B91" t="s">
        <v>259</v>
      </c>
      <c r="C91" t="s">
        <v>283</v>
      </c>
      <c r="D91" t="s">
        <v>50</v>
      </c>
    </row>
    <row r="92" spans="1:4" x14ac:dyDescent="0.2">
      <c r="A92" t="s">
        <v>60</v>
      </c>
      <c r="B92" t="s">
        <v>174</v>
      </c>
      <c r="C92" t="s">
        <v>268</v>
      </c>
      <c r="D92" t="s">
        <v>50</v>
      </c>
    </row>
    <row r="93" spans="1:4" x14ac:dyDescent="0.2">
      <c r="A93" t="s">
        <v>61</v>
      </c>
      <c r="B93" t="s">
        <v>174</v>
      </c>
      <c r="C93" t="s">
        <v>104</v>
      </c>
      <c r="D93" t="s">
        <v>50</v>
      </c>
    </row>
    <row r="94" spans="1:4" x14ac:dyDescent="0.2">
      <c r="A94" t="s">
        <v>62</v>
      </c>
      <c r="B94" t="s">
        <v>174</v>
      </c>
      <c r="C94" t="s">
        <v>104</v>
      </c>
      <c r="D94" t="s">
        <v>50</v>
      </c>
    </row>
    <row r="95" spans="1:4" x14ac:dyDescent="0.2">
      <c r="A95" t="s">
        <v>63</v>
      </c>
      <c r="B95" t="s">
        <v>174</v>
      </c>
      <c r="C95" t="s">
        <v>104</v>
      </c>
      <c r="D95" t="s">
        <v>50</v>
      </c>
    </row>
    <row r="96" spans="1:4" x14ac:dyDescent="0.2">
      <c r="A96" t="s">
        <v>64</v>
      </c>
      <c r="B96" t="s">
        <v>174</v>
      </c>
      <c r="C96" t="s">
        <v>263</v>
      </c>
      <c r="D96" t="s">
        <v>50</v>
      </c>
    </row>
    <row r="97" spans="1:4" x14ac:dyDescent="0.2">
      <c r="A97" t="s">
        <v>65</v>
      </c>
      <c r="B97" t="s">
        <v>178</v>
      </c>
      <c r="C97" t="s">
        <v>283</v>
      </c>
      <c r="D97" t="s">
        <v>50</v>
      </c>
    </row>
    <row r="98" spans="1:4" x14ac:dyDescent="0.2">
      <c r="A98" t="s">
        <v>66</v>
      </c>
      <c r="B98" t="s">
        <v>178</v>
      </c>
      <c r="C98" t="s">
        <v>283</v>
      </c>
      <c r="D98" t="s">
        <v>50</v>
      </c>
    </row>
    <row r="99" spans="1:4" x14ac:dyDescent="0.2">
      <c r="A99" t="s">
        <v>67</v>
      </c>
      <c r="B99" t="s">
        <v>259</v>
      </c>
      <c r="C99" t="s">
        <v>283</v>
      </c>
      <c r="D99" t="s">
        <v>50</v>
      </c>
    </row>
    <row r="100" spans="1:4" x14ac:dyDescent="0.2">
      <c r="A100" t="s">
        <v>97</v>
      </c>
      <c r="B100" t="s">
        <v>174</v>
      </c>
      <c r="C100" t="s">
        <v>263</v>
      </c>
      <c r="D100" t="s">
        <v>50</v>
      </c>
    </row>
    <row r="101" spans="1:4" x14ac:dyDescent="0.2">
      <c r="A101" t="s">
        <v>98</v>
      </c>
      <c r="B101" t="s">
        <v>176</v>
      </c>
      <c r="C101" t="s">
        <v>283</v>
      </c>
      <c r="D101" t="s">
        <v>50</v>
      </c>
    </row>
    <row r="102" spans="1:4" x14ac:dyDescent="0.2">
      <c r="A102" t="s">
        <v>99</v>
      </c>
      <c r="B102" t="s">
        <v>269</v>
      </c>
      <c r="C102" t="s">
        <v>268</v>
      </c>
      <c r="D102" t="s">
        <v>50</v>
      </c>
    </row>
    <row r="103" spans="1:4" x14ac:dyDescent="0.2">
      <c r="A103" t="s">
        <v>100</v>
      </c>
      <c r="B103" t="s">
        <v>269</v>
      </c>
      <c r="C103" t="s">
        <v>285</v>
      </c>
      <c r="D103" t="s">
        <v>48</v>
      </c>
    </row>
    <row r="104" spans="1:4" x14ac:dyDescent="0.2">
      <c r="A104" t="s">
        <v>217</v>
      </c>
      <c r="B104" t="s">
        <v>259</v>
      </c>
      <c r="C104" t="s">
        <v>257</v>
      </c>
      <c r="D104" t="s">
        <v>50</v>
      </c>
    </row>
    <row r="105" spans="1:4" x14ac:dyDescent="0.2">
      <c r="A105" t="s">
        <v>218</v>
      </c>
      <c r="B105" t="s">
        <v>175</v>
      </c>
      <c r="C105" t="s">
        <v>283</v>
      </c>
      <c r="D105" t="s">
        <v>50</v>
      </c>
    </row>
    <row r="106" spans="1:4" x14ac:dyDescent="0.2">
      <c r="A106" t="s">
        <v>219</v>
      </c>
      <c r="B106" t="s">
        <v>259</v>
      </c>
      <c r="C106" t="s">
        <v>257</v>
      </c>
      <c r="D106" t="s">
        <v>50</v>
      </c>
    </row>
    <row r="107" spans="1:4" x14ac:dyDescent="0.2">
      <c r="A107" t="s">
        <v>221</v>
      </c>
      <c r="B107" t="s">
        <v>259</v>
      </c>
      <c r="C107" t="s">
        <v>257</v>
      </c>
      <c r="D107" t="s">
        <v>50</v>
      </c>
    </row>
    <row r="108" spans="1:4" x14ac:dyDescent="0.2">
      <c r="A108" t="s">
        <v>222</v>
      </c>
      <c r="B108" t="s">
        <v>174</v>
      </c>
      <c r="C108" t="s">
        <v>263</v>
      </c>
      <c r="D108" t="s">
        <v>48</v>
      </c>
    </row>
    <row r="109" spans="1:4" x14ac:dyDescent="0.2">
      <c r="A109" t="s">
        <v>223</v>
      </c>
      <c r="B109" t="s">
        <v>259</v>
      </c>
      <c r="C109" t="s">
        <v>257</v>
      </c>
      <c r="D109" t="s">
        <v>50</v>
      </c>
    </row>
    <row r="110" spans="1:4" x14ac:dyDescent="0.2">
      <c r="A110" t="s">
        <v>224</v>
      </c>
      <c r="B110" t="s">
        <v>259</v>
      </c>
      <c r="C110" t="s">
        <v>257</v>
      </c>
      <c r="D110" t="s">
        <v>50</v>
      </c>
    </row>
    <row r="111" spans="1:4" x14ac:dyDescent="0.2">
      <c r="A111" t="s">
        <v>225</v>
      </c>
      <c r="B111" t="s">
        <v>259</v>
      </c>
      <c r="C111" t="s">
        <v>257</v>
      </c>
      <c r="D111" t="s">
        <v>48</v>
      </c>
    </row>
    <row r="112" spans="1:4" x14ac:dyDescent="0.2">
      <c r="A112" t="s">
        <v>270</v>
      </c>
      <c r="B112" t="s">
        <v>259</v>
      </c>
      <c r="C112" t="s">
        <v>257</v>
      </c>
      <c r="D112" t="s">
        <v>48</v>
      </c>
    </row>
    <row r="113" spans="1:4" x14ac:dyDescent="0.2">
      <c r="A113" t="s">
        <v>288</v>
      </c>
      <c r="B113" t="s">
        <v>269</v>
      </c>
      <c r="C113" t="s">
        <v>283</v>
      </c>
      <c r="D113" t="s">
        <v>50</v>
      </c>
    </row>
    <row r="114" spans="1:4" x14ac:dyDescent="0.2">
      <c r="A114" t="s">
        <v>101</v>
      </c>
      <c r="B114" t="s">
        <v>178</v>
      </c>
      <c r="C114" t="s">
        <v>262</v>
      </c>
      <c r="D114" t="s">
        <v>48</v>
      </c>
    </row>
  </sheetData>
  <autoFilter ref="B1:C114" xr:uid="{C01F2986-FA9A-6342-9636-039BA308EF91}"/>
  <sortState xmlns:xlrd2="http://schemas.microsoft.com/office/spreadsheetml/2017/richdata2" ref="A2:D114">
    <sortCondition ref="A1:A114"/>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6FC3-99E0-CC4C-8DBC-69B53CC30601}">
  <dimension ref="A1:J38"/>
  <sheetViews>
    <sheetView zoomScale="150" zoomScaleNormal="150" workbookViewId="0">
      <selection activeCell="A15" sqref="A15:XFD15"/>
    </sheetView>
  </sheetViews>
  <sheetFormatPr baseColWidth="10" defaultRowHeight="16" x14ac:dyDescent="0.2"/>
  <cols>
    <col min="1" max="1" width="22.6640625" bestFit="1" customWidth="1"/>
    <col min="2" max="2" width="16" bestFit="1" customWidth="1"/>
    <col min="3" max="3" width="14.5" bestFit="1" customWidth="1"/>
    <col min="4" max="4" width="21" bestFit="1" customWidth="1"/>
    <col min="5" max="5" width="13" bestFit="1" customWidth="1"/>
    <col min="6" max="6" width="14.5" bestFit="1" customWidth="1"/>
    <col min="7" max="7" width="21" bestFit="1" customWidth="1"/>
    <col min="8" max="8" width="17.5" bestFit="1" customWidth="1"/>
    <col min="9" max="9" width="19" bestFit="1" customWidth="1"/>
    <col min="10" max="10" width="25.5" bestFit="1" customWidth="1"/>
  </cols>
  <sheetData>
    <row r="1" spans="1:10" x14ac:dyDescent="0.2">
      <c r="B1" s="13" t="s">
        <v>302</v>
      </c>
    </row>
    <row r="2" spans="1:10" x14ac:dyDescent="0.2">
      <c r="B2" t="s">
        <v>50</v>
      </c>
      <c r="E2" t="s">
        <v>48</v>
      </c>
      <c r="H2" t="s">
        <v>364</v>
      </c>
      <c r="I2" t="s">
        <v>365</v>
      </c>
      <c r="J2" t="s">
        <v>367</v>
      </c>
    </row>
    <row r="3" spans="1:10" x14ac:dyDescent="0.2">
      <c r="A3" s="13" t="s">
        <v>299</v>
      </c>
      <c r="B3" t="s">
        <v>301</v>
      </c>
      <c r="C3" t="s">
        <v>366</v>
      </c>
      <c r="D3" t="s">
        <v>368</v>
      </c>
      <c r="E3" t="s">
        <v>301</v>
      </c>
      <c r="F3" t="s">
        <v>366</v>
      </c>
      <c r="G3" t="s">
        <v>368</v>
      </c>
    </row>
    <row r="4" spans="1:10" x14ac:dyDescent="0.2">
      <c r="A4" s="14" t="s">
        <v>269</v>
      </c>
      <c r="B4">
        <v>15</v>
      </c>
      <c r="C4" s="19">
        <v>0.13274336283185842</v>
      </c>
      <c r="D4" s="19">
        <v>0.19736842105263158</v>
      </c>
      <c r="E4">
        <v>11</v>
      </c>
      <c r="F4" s="19">
        <v>9.7345132743362831E-2</v>
      </c>
      <c r="G4" s="19">
        <v>0.29729729729729731</v>
      </c>
      <c r="H4">
        <v>26</v>
      </c>
      <c r="I4" s="19">
        <v>0.23008849557522124</v>
      </c>
      <c r="J4" s="19">
        <v>0.23008849557522124</v>
      </c>
    </row>
    <row r="5" spans="1:10" x14ac:dyDescent="0.2">
      <c r="A5" s="15" t="s">
        <v>203</v>
      </c>
      <c r="B5">
        <v>1</v>
      </c>
      <c r="C5" s="19">
        <v>8.8495575221238937E-3</v>
      </c>
      <c r="D5" s="19">
        <v>1.3157894736842105E-2</v>
      </c>
      <c r="F5" s="19">
        <v>0</v>
      </c>
      <c r="G5" s="19">
        <v>0</v>
      </c>
      <c r="H5">
        <v>1</v>
      </c>
      <c r="I5" s="19">
        <v>8.8495575221238937E-3</v>
      </c>
      <c r="J5" s="19">
        <v>8.8495575221238937E-3</v>
      </c>
    </row>
    <row r="6" spans="1:10" x14ac:dyDescent="0.2">
      <c r="A6" s="15" t="s">
        <v>268</v>
      </c>
      <c r="B6">
        <v>7</v>
      </c>
      <c r="C6" s="19">
        <v>6.1946902654867256E-2</v>
      </c>
      <c r="D6" s="19">
        <v>9.2105263157894732E-2</v>
      </c>
      <c r="E6">
        <v>2</v>
      </c>
      <c r="F6" s="19">
        <v>1.7699115044247787E-2</v>
      </c>
      <c r="G6" s="19">
        <v>5.4054054054054057E-2</v>
      </c>
      <c r="H6">
        <v>9</v>
      </c>
      <c r="I6" s="19">
        <v>7.9646017699115043E-2</v>
      </c>
      <c r="J6" s="19">
        <v>7.9646017699115043E-2</v>
      </c>
    </row>
    <row r="7" spans="1:10" x14ac:dyDescent="0.2">
      <c r="A7" s="15" t="s">
        <v>294</v>
      </c>
      <c r="C7" s="19">
        <v>0</v>
      </c>
      <c r="D7" s="19">
        <v>0</v>
      </c>
      <c r="E7">
        <v>1</v>
      </c>
      <c r="F7" s="19">
        <v>8.8495575221238937E-3</v>
      </c>
      <c r="G7" s="19">
        <v>2.7027027027027029E-2</v>
      </c>
      <c r="H7">
        <v>1</v>
      </c>
      <c r="I7" s="19">
        <v>8.8495575221238937E-3</v>
      </c>
      <c r="J7" s="19">
        <v>8.8495575221238937E-3</v>
      </c>
    </row>
    <row r="8" spans="1:10" x14ac:dyDescent="0.2">
      <c r="A8" s="15" t="s">
        <v>257</v>
      </c>
      <c r="B8">
        <v>1</v>
      </c>
      <c r="C8" s="19">
        <v>8.8495575221238937E-3</v>
      </c>
      <c r="D8" s="19">
        <v>1.3157894736842105E-2</v>
      </c>
      <c r="F8" s="19">
        <v>0</v>
      </c>
      <c r="G8" s="19">
        <v>0</v>
      </c>
      <c r="H8">
        <v>1</v>
      </c>
      <c r="I8" s="19">
        <v>8.8495575221238937E-3</v>
      </c>
      <c r="J8" s="19">
        <v>8.8495575221238937E-3</v>
      </c>
    </row>
    <row r="9" spans="1:10" x14ac:dyDescent="0.2">
      <c r="A9" s="15" t="s">
        <v>289</v>
      </c>
      <c r="B9">
        <v>1</v>
      </c>
      <c r="C9" s="19">
        <v>8.8495575221238937E-3</v>
      </c>
      <c r="D9" s="19">
        <v>1.3157894736842105E-2</v>
      </c>
      <c r="E9">
        <v>1</v>
      </c>
      <c r="F9" s="19">
        <v>8.8495575221238937E-3</v>
      </c>
      <c r="G9" s="19">
        <v>2.7027027027027029E-2</v>
      </c>
      <c r="H9">
        <v>2</v>
      </c>
      <c r="I9" s="19">
        <v>1.7699115044247787E-2</v>
      </c>
      <c r="J9" s="19">
        <v>1.7699115044247787E-2</v>
      </c>
    </row>
    <row r="10" spans="1:10" x14ac:dyDescent="0.2">
      <c r="A10" s="15" t="s">
        <v>285</v>
      </c>
      <c r="C10" s="19">
        <v>0</v>
      </c>
      <c r="D10" s="19">
        <v>0</v>
      </c>
      <c r="E10">
        <v>1</v>
      </c>
      <c r="F10" s="19">
        <v>8.8495575221238937E-3</v>
      </c>
      <c r="G10" s="19">
        <v>2.7027027027027029E-2</v>
      </c>
      <c r="H10">
        <v>1</v>
      </c>
      <c r="I10" s="19">
        <v>8.8495575221238937E-3</v>
      </c>
      <c r="J10" s="19">
        <v>8.8495575221238937E-3</v>
      </c>
    </row>
    <row r="11" spans="1:10" x14ac:dyDescent="0.2">
      <c r="A11" s="15" t="s">
        <v>175</v>
      </c>
      <c r="B11">
        <v>4</v>
      </c>
      <c r="C11" s="19">
        <v>3.5398230088495575E-2</v>
      </c>
      <c r="D11" s="19">
        <v>5.2631578947368418E-2</v>
      </c>
      <c r="E11">
        <v>3</v>
      </c>
      <c r="F11" s="19">
        <v>2.6548672566371681E-2</v>
      </c>
      <c r="G11" s="19">
        <v>8.1081081081081086E-2</v>
      </c>
      <c r="H11">
        <v>7</v>
      </c>
      <c r="I11" s="19">
        <v>6.1946902654867256E-2</v>
      </c>
      <c r="J11" s="19">
        <v>6.1946902654867256E-2</v>
      </c>
    </row>
    <row r="12" spans="1:10" x14ac:dyDescent="0.2">
      <c r="A12" s="15" t="s">
        <v>283</v>
      </c>
      <c r="B12">
        <v>1</v>
      </c>
      <c r="C12" s="19">
        <v>8.8495575221238937E-3</v>
      </c>
      <c r="D12" s="19">
        <v>1.3157894736842105E-2</v>
      </c>
      <c r="E12">
        <v>3</v>
      </c>
      <c r="F12" s="19">
        <v>2.6548672566371681E-2</v>
      </c>
      <c r="G12" s="19">
        <v>8.1081081081081086E-2</v>
      </c>
      <c r="H12">
        <v>4</v>
      </c>
      <c r="I12" s="19">
        <v>3.5398230088495575E-2</v>
      </c>
      <c r="J12" s="19">
        <v>3.5398230088495575E-2</v>
      </c>
    </row>
    <row r="13" spans="1:10" x14ac:dyDescent="0.2">
      <c r="A13" s="14" t="s">
        <v>259</v>
      </c>
      <c r="B13">
        <v>26</v>
      </c>
      <c r="C13" s="19">
        <v>0.23008849557522124</v>
      </c>
      <c r="D13" s="19">
        <v>0.34210526315789475</v>
      </c>
      <c r="E13">
        <v>5</v>
      </c>
      <c r="F13" s="19">
        <v>4.4247787610619468E-2</v>
      </c>
      <c r="G13" s="19">
        <v>0.13513513513513514</v>
      </c>
      <c r="H13">
        <v>31</v>
      </c>
      <c r="I13" s="19">
        <v>0.27433628318584069</v>
      </c>
      <c r="J13" s="19">
        <v>0.27433628318584069</v>
      </c>
    </row>
    <row r="14" spans="1:10" x14ac:dyDescent="0.2">
      <c r="A14" s="15" t="s">
        <v>287</v>
      </c>
      <c r="B14">
        <v>1</v>
      </c>
      <c r="C14" s="19">
        <v>8.8495575221238937E-3</v>
      </c>
      <c r="D14" s="19">
        <v>1.3157894736842105E-2</v>
      </c>
      <c r="F14" s="19">
        <v>0</v>
      </c>
      <c r="G14" s="19">
        <v>0</v>
      </c>
      <c r="H14">
        <v>1</v>
      </c>
      <c r="I14" s="19">
        <v>8.8495575221238937E-3</v>
      </c>
      <c r="J14" s="19">
        <v>8.8495575221238937E-3</v>
      </c>
    </row>
    <row r="15" spans="1:10" x14ac:dyDescent="0.2">
      <c r="A15" s="15" t="s">
        <v>257</v>
      </c>
      <c r="B15">
        <v>20</v>
      </c>
      <c r="C15" s="19">
        <v>0.17699115044247787</v>
      </c>
      <c r="D15" s="19">
        <v>0.26315789473684209</v>
      </c>
      <c r="E15">
        <v>5</v>
      </c>
      <c r="F15" s="19">
        <v>4.4247787610619468E-2</v>
      </c>
      <c r="G15" s="19">
        <v>0.13513513513513514</v>
      </c>
      <c r="H15">
        <v>25</v>
      </c>
      <c r="I15" s="19">
        <v>0.22123893805309736</v>
      </c>
      <c r="J15" s="19">
        <v>0.22123893805309736</v>
      </c>
    </row>
    <row r="16" spans="1:10" x14ac:dyDescent="0.2">
      <c r="A16" s="15" t="s">
        <v>283</v>
      </c>
      <c r="B16">
        <v>4</v>
      </c>
      <c r="C16" s="19">
        <v>3.5398230088495575E-2</v>
      </c>
      <c r="D16" s="19">
        <v>5.2631578947368418E-2</v>
      </c>
      <c r="F16" s="19">
        <v>0</v>
      </c>
      <c r="G16" s="19">
        <v>0</v>
      </c>
      <c r="H16">
        <v>4</v>
      </c>
      <c r="I16" s="19">
        <v>3.5398230088495575E-2</v>
      </c>
      <c r="J16" s="19">
        <v>3.5398230088495575E-2</v>
      </c>
    </row>
    <row r="17" spans="1:10" x14ac:dyDescent="0.2">
      <c r="A17" s="15" t="s">
        <v>284</v>
      </c>
      <c r="B17">
        <v>1</v>
      </c>
      <c r="C17" s="19">
        <v>8.8495575221238937E-3</v>
      </c>
      <c r="D17" s="19">
        <v>1.3157894736842105E-2</v>
      </c>
      <c r="F17" s="19">
        <v>0</v>
      </c>
      <c r="G17" s="19">
        <v>0</v>
      </c>
      <c r="H17">
        <v>1</v>
      </c>
      <c r="I17" s="19">
        <v>8.8495575221238937E-3</v>
      </c>
      <c r="J17" s="19">
        <v>8.8495575221238937E-3</v>
      </c>
    </row>
    <row r="18" spans="1:10" x14ac:dyDescent="0.2">
      <c r="A18" s="14" t="s">
        <v>174</v>
      </c>
      <c r="B18">
        <v>10</v>
      </c>
      <c r="C18" s="19">
        <v>8.8495575221238937E-2</v>
      </c>
      <c r="D18" s="19">
        <v>0.13157894736842105</v>
      </c>
      <c r="E18">
        <v>4</v>
      </c>
      <c r="F18" s="19">
        <v>3.5398230088495575E-2</v>
      </c>
      <c r="G18" s="19">
        <v>0.10810810810810811</v>
      </c>
      <c r="H18">
        <v>14</v>
      </c>
      <c r="I18" s="19">
        <v>0.12389380530973451</v>
      </c>
      <c r="J18" s="19">
        <v>0.12389380530973451</v>
      </c>
    </row>
    <row r="19" spans="1:10" x14ac:dyDescent="0.2">
      <c r="A19" s="15" t="s">
        <v>104</v>
      </c>
      <c r="B19">
        <v>4</v>
      </c>
      <c r="C19" s="19">
        <v>3.5398230088495575E-2</v>
      </c>
      <c r="D19" s="19">
        <v>5.2631578947368418E-2</v>
      </c>
      <c r="F19" s="19">
        <v>0</v>
      </c>
      <c r="G19" s="19">
        <v>0</v>
      </c>
      <c r="H19">
        <v>4</v>
      </c>
      <c r="I19" s="19">
        <v>3.5398230088495575E-2</v>
      </c>
      <c r="J19" s="19">
        <v>3.5398230088495575E-2</v>
      </c>
    </row>
    <row r="20" spans="1:10" x14ac:dyDescent="0.2">
      <c r="A20" s="15" t="s">
        <v>263</v>
      </c>
      <c r="B20">
        <v>4</v>
      </c>
      <c r="C20" s="19">
        <v>3.5398230088495575E-2</v>
      </c>
      <c r="D20" s="19">
        <v>5.2631578947368418E-2</v>
      </c>
      <c r="E20">
        <v>1</v>
      </c>
      <c r="F20" s="19">
        <v>8.8495575221238937E-3</v>
      </c>
      <c r="G20" s="19">
        <v>2.7027027027027029E-2</v>
      </c>
      <c r="H20">
        <v>5</v>
      </c>
      <c r="I20" s="19">
        <v>4.4247787610619468E-2</v>
      </c>
      <c r="J20" s="19">
        <v>4.4247787610619468E-2</v>
      </c>
    </row>
    <row r="21" spans="1:10" x14ac:dyDescent="0.2">
      <c r="A21" s="15" t="s">
        <v>268</v>
      </c>
      <c r="B21">
        <v>1</v>
      </c>
      <c r="C21" s="19">
        <v>8.8495575221238937E-3</v>
      </c>
      <c r="D21" s="19">
        <v>1.3157894736842105E-2</v>
      </c>
      <c r="E21">
        <v>1</v>
      </c>
      <c r="F21" s="19">
        <v>8.8495575221238937E-3</v>
      </c>
      <c r="G21" s="19">
        <v>2.7027027027027029E-2</v>
      </c>
      <c r="H21">
        <v>2</v>
      </c>
      <c r="I21" s="19">
        <v>1.7699115044247787E-2</v>
      </c>
      <c r="J21" s="19">
        <v>1.7699115044247787E-2</v>
      </c>
    </row>
    <row r="22" spans="1:10" x14ac:dyDescent="0.2">
      <c r="A22" s="15" t="s">
        <v>260</v>
      </c>
      <c r="B22">
        <v>1</v>
      </c>
      <c r="C22" s="19">
        <v>8.8495575221238937E-3</v>
      </c>
      <c r="D22" s="19">
        <v>1.3157894736842105E-2</v>
      </c>
      <c r="E22">
        <v>1</v>
      </c>
      <c r="F22" s="19">
        <v>8.8495575221238937E-3</v>
      </c>
      <c r="G22" s="19">
        <v>2.7027027027027029E-2</v>
      </c>
      <c r="H22">
        <v>2</v>
      </c>
      <c r="I22" s="19">
        <v>1.7699115044247787E-2</v>
      </c>
      <c r="J22" s="19">
        <v>1.7699115044247787E-2</v>
      </c>
    </row>
    <row r="23" spans="1:10" x14ac:dyDescent="0.2">
      <c r="A23" s="15" t="s">
        <v>265</v>
      </c>
      <c r="C23" s="19">
        <v>0</v>
      </c>
      <c r="D23" s="19">
        <v>0</v>
      </c>
      <c r="E23">
        <v>1</v>
      </c>
      <c r="F23" s="19">
        <v>8.8495575221238937E-3</v>
      </c>
      <c r="G23" s="19">
        <v>2.7027027027027029E-2</v>
      </c>
      <c r="H23">
        <v>1</v>
      </c>
      <c r="I23" s="19">
        <v>8.8495575221238937E-3</v>
      </c>
      <c r="J23" s="19">
        <v>8.8495575221238937E-3</v>
      </c>
    </row>
    <row r="24" spans="1:10" x14ac:dyDescent="0.2">
      <c r="A24" s="14" t="s">
        <v>176</v>
      </c>
      <c r="B24">
        <v>7</v>
      </c>
      <c r="C24" s="19">
        <v>6.1946902654867256E-2</v>
      </c>
      <c r="D24" s="19">
        <v>9.2105263157894732E-2</v>
      </c>
      <c r="E24">
        <v>1</v>
      </c>
      <c r="F24" s="19">
        <v>8.8495575221238937E-3</v>
      </c>
      <c r="G24" s="19">
        <v>2.7027027027027029E-2</v>
      </c>
      <c r="H24">
        <v>8</v>
      </c>
      <c r="I24" s="19">
        <v>7.0796460176991149E-2</v>
      </c>
      <c r="J24" s="19">
        <v>7.0796460176991149E-2</v>
      </c>
    </row>
    <row r="25" spans="1:10" x14ac:dyDescent="0.2">
      <c r="A25" s="15" t="s">
        <v>283</v>
      </c>
      <c r="B25">
        <v>7</v>
      </c>
      <c r="C25" s="19">
        <v>6.1946902654867256E-2</v>
      </c>
      <c r="D25" s="19">
        <v>9.2105263157894732E-2</v>
      </c>
      <c r="E25">
        <v>1</v>
      </c>
      <c r="F25" s="19">
        <v>8.8495575221238937E-3</v>
      </c>
      <c r="G25" s="19">
        <v>2.7027027027027029E-2</v>
      </c>
      <c r="H25">
        <v>8</v>
      </c>
      <c r="I25" s="19">
        <v>7.0796460176991149E-2</v>
      </c>
      <c r="J25" s="19">
        <v>7.0796460176991149E-2</v>
      </c>
    </row>
    <row r="26" spans="1:10" x14ac:dyDescent="0.2">
      <c r="A26" s="14" t="s">
        <v>258</v>
      </c>
      <c r="B26">
        <v>2</v>
      </c>
      <c r="C26" s="19">
        <v>1.7699115044247787E-2</v>
      </c>
      <c r="D26" s="19">
        <v>2.6315789473684209E-2</v>
      </c>
      <c r="E26">
        <v>3</v>
      </c>
      <c r="F26" s="19">
        <v>2.6548672566371681E-2</v>
      </c>
      <c r="G26" s="19">
        <v>8.1081081081081086E-2</v>
      </c>
      <c r="H26">
        <v>5</v>
      </c>
      <c r="I26" s="19">
        <v>4.4247787610619468E-2</v>
      </c>
      <c r="J26" s="19">
        <v>4.4247787610619468E-2</v>
      </c>
    </row>
    <row r="27" spans="1:10" x14ac:dyDescent="0.2">
      <c r="A27" s="15" t="s">
        <v>266</v>
      </c>
      <c r="B27">
        <v>2</v>
      </c>
      <c r="C27" s="19">
        <v>1.7699115044247787E-2</v>
      </c>
      <c r="D27" s="19">
        <v>2.6315789473684209E-2</v>
      </c>
      <c r="E27">
        <v>3</v>
      </c>
      <c r="F27" s="19">
        <v>2.6548672566371681E-2</v>
      </c>
      <c r="G27" s="19">
        <v>8.1081081081081086E-2</v>
      </c>
      <c r="H27">
        <v>5</v>
      </c>
      <c r="I27" s="19">
        <v>4.4247787610619468E-2</v>
      </c>
      <c r="J27" s="19">
        <v>4.4247787610619468E-2</v>
      </c>
    </row>
    <row r="28" spans="1:10" x14ac:dyDescent="0.2">
      <c r="A28" s="14" t="s">
        <v>178</v>
      </c>
      <c r="B28">
        <v>10</v>
      </c>
      <c r="C28" s="19">
        <v>8.8495575221238937E-2</v>
      </c>
      <c r="D28" s="19">
        <v>0.13157894736842105</v>
      </c>
      <c r="E28">
        <v>9</v>
      </c>
      <c r="F28" s="19">
        <v>7.9646017699115043E-2</v>
      </c>
      <c r="G28" s="19">
        <v>0.24324324324324326</v>
      </c>
      <c r="H28">
        <v>19</v>
      </c>
      <c r="I28" s="19">
        <v>0.16814159292035399</v>
      </c>
      <c r="J28" s="19">
        <v>0.16814159292035399</v>
      </c>
    </row>
    <row r="29" spans="1:10" x14ac:dyDescent="0.2">
      <c r="A29" s="15" t="s">
        <v>267</v>
      </c>
      <c r="B29">
        <v>1</v>
      </c>
      <c r="C29" s="19">
        <v>8.8495575221238937E-3</v>
      </c>
      <c r="D29" s="19">
        <v>1.3157894736842105E-2</v>
      </c>
      <c r="F29" s="19">
        <v>0</v>
      </c>
      <c r="G29" s="19">
        <v>0</v>
      </c>
      <c r="H29">
        <v>1</v>
      </c>
      <c r="I29" s="19">
        <v>8.8495575221238937E-3</v>
      </c>
      <c r="J29" s="19">
        <v>8.8495575221238937E-3</v>
      </c>
    </row>
    <row r="30" spans="1:10" x14ac:dyDescent="0.2">
      <c r="A30" s="15" t="s">
        <v>261</v>
      </c>
      <c r="B30">
        <v>1</v>
      </c>
      <c r="C30" s="19">
        <v>8.8495575221238937E-3</v>
      </c>
      <c r="D30" s="19">
        <v>1.3157894736842105E-2</v>
      </c>
      <c r="E30">
        <v>1</v>
      </c>
      <c r="F30" s="19">
        <v>8.8495575221238937E-3</v>
      </c>
      <c r="G30" s="19">
        <v>2.7027027027027029E-2</v>
      </c>
      <c r="H30">
        <v>2</v>
      </c>
      <c r="I30" s="19">
        <v>1.7699115044247787E-2</v>
      </c>
      <c r="J30" s="19">
        <v>1.7699115044247787E-2</v>
      </c>
    </row>
    <row r="31" spans="1:10" x14ac:dyDescent="0.2">
      <c r="A31" s="15" t="s">
        <v>264</v>
      </c>
      <c r="B31">
        <v>4</v>
      </c>
      <c r="C31" s="19">
        <v>3.5398230088495575E-2</v>
      </c>
      <c r="D31" s="19">
        <v>5.2631578947368418E-2</v>
      </c>
      <c r="E31">
        <v>4</v>
      </c>
      <c r="F31" s="19">
        <v>3.5398230088495575E-2</v>
      </c>
      <c r="G31" s="19">
        <v>0.10810810810810811</v>
      </c>
      <c r="H31">
        <v>8</v>
      </c>
      <c r="I31" s="19">
        <v>7.0796460176991149E-2</v>
      </c>
      <c r="J31" s="19">
        <v>7.0796460176991149E-2</v>
      </c>
    </row>
    <row r="32" spans="1:10" x14ac:dyDescent="0.2">
      <c r="A32" s="15" t="s">
        <v>262</v>
      </c>
      <c r="C32" s="19">
        <v>0</v>
      </c>
      <c r="D32" s="19">
        <v>0</v>
      </c>
      <c r="E32">
        <v>4</v>
      </c>
      <c r="F32" s="19">
        <v>3.5398230088495575E-2</v>
      </c>
      <c r="G32" s="19">
        <v>0.10810810810810811</v>
      </c>
      <c r="H32">
        <v>4</v>
      </c>
      <c r="I32" s="19">
        <v>3.5398230088495575E-2</v>
      </c>
      <c r="J32" s="19">
        <v>3.5398230088495575E-2</v>
      </c>
    </row>
    <row r="33" spans="1:10" x14ac:dyDescent="0.2">
      <c r="A33" s="15" t="s">
        <v>283</v>
      </c>
      <c r="B33">
        <v>4</v>
      </c>
      <c r="C33" s="19">
        <v>3.5398230088495575E-2</v>
      </c>
      <c r="D33" s="19">
        <v>5.2631578947368418E-2</v>
      </c>
      <c r="F33" s="19">
        <v>0</v>
      </c>
      <c r="G33" s="19">
        <v>0</v>
      </c>
      <c r="H33">
        <v>4</v>
      </c>
      <c r="I33" s="19">
        <v>3.5398230088495575E-2</v>
      </c>
      <c r="J33" s="19">
        <v>3.5398230088495575E-2</v>
      </c>
    </row>
    <row r="34" spans="1:10" x14ac:dyDescent="0.2">
      <c r="A34" s="14" t="s">
        <v>175</v>
      </c>
      <c r="B34">
        <v>6</v>
      </c>
      <c r="C34" s="19">
        <v>5.3097345132743362E-2</v>
      </c>
      <c r="D34" s="19">
        <v>7.8947368421052627E-2</v>
      </c>
      <c r="E34">
        <v>4</v>
      </c>
      <c r="F34" s="19">
        <v>3.5398230088495575E-2</v>
      </c>
      <c r="G34" s="19">
        <v>0.10810810810810811</v>
      </c>
      <c r="H34">
        <v>10</v>
      </c>
      <c r="I34" s="19">
        <v>8.8495575221238937E-2</v>
      </c>
      <c r="J34" s="19">
        <v>8.8495575221238937E-2</v>
      </c>
    </row>
    <row r="35" spans="1:10" x14ac:dyDescent="0.2">
      <c r="A35" s="15" t="s">
        <v>177</v>
      </c>
      <c r="B35">
        <v>3</v>
      </c>
      <c r="C35" s="19">
        <v>2.6548672566371681E-2</v>
      </c>
      <c r="D35" s="19">
        <v>3.9473684210526314E-2</v>
      </c>
      <c r="E35">
        <v>1</v>
      </c>
      <c r="F35" s="19">
        <v>8.8495575221238937E-3</v>
      </c>
      <c r="G35" s="19">
        <v>2.7027027027027029E-2</v>
      </c>
      <c r="H35">
        <v>4</v>
      </c>
      <c r="I35" s="19">
        <v>3.5398230088495575E-2</v>
      </c>
      <c r="J35" s="19">
        <v>3.5398230088495575E-2</v>
      </c>
    </row>
    <row r="36" spans="1:10" x14ac:dyDescent="0.2">
      <c r="A36" s="15" t="s">
        <v>220</v>
      </c>
      <c r="B36">
        <v>1</v>
      </c>
      <c r="C36" s="19">
        <v>8.8495575221238937E-3</v>
      </c>
      <c r="D36" s="19">
        <v>1.3157894736842105E-2</v>
      </c>
      <c r="E36">
        <v>1</v>
      </c>
      <c r="F36" s="19">
        <v>8.8495575221238937E-3</v>
      </c>
      <c r="G36" s="19">
        <v>2.7027027027027029E-2</v>
      </c>
      <c r="H36">
        <v>2</v>
      </c>
      <c r="I36" s="19">
        <v>1.7699115044247787E-2</v>
      </c>
      <c r="J36" s="19">
        <v>1.7699115044247787E-2</v>
      </c>
    </row>
    <row r="37" spans="1:10" x14ac:dyDescent="0.2">
      <c r="A37" s="15" t="s">
        <v>283</v>
      </c>
      <c r="B37">
        <v>2</v>
      </c>
      <c r="C37" s="19">
        <v>1.7699115044247787E-2</v>
      </c>
      <c r="D37" s="19">
        <v>2.6315789473684209E-2</v>
      </c>
      <c r="E37">
        <v>2</v>
      </c>
      <c r="F37" s="19">
        <v>1.7699115044247787E-2</v>
      </c>
      <c r="G37" s="19">
        <v>5.4054054054054057E-2</v>
      </c>
      <c r="H37">
        <v>4</v>
      </c>
      <c r="I37" s="19">
        <v>3.5398230088495575E-2</v>
      </c>
      <c r="J37" s="19">
        <v>3.5398230088495575E-2</v>
      </c>
    </row>
    <row r="38" spans="1:10" x14ac:dyDescent="0.2">
      <c r="A38" s="14" t="s">
        <v>300</v>
      </c>
      <c r="B38">
        <v>76</v>
      </c>
      <c r="C38" s="19">
        <v>0.67256637168141598</v>
      </c>
      <c r="D38" s="19">
        <v>1</v>
      </c>
      <c r="E38">
        <v>37</v>
      </c>
      <c r="F38" s="19">
        <v>0.32743362831858408</v>
      </c>
      <c r="G38" s="19">
        <v>1</v>
      </c>
      <c r="H38">
        <v>113</v>
      </c>
      <c r="I38" s="19">
        <v>1</v>
      </c>
      <c r="J38" s="19">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013F7-516B-054F-AFE7-39D5CC1ED573}">
  <dimension ref="A1:I20"/>
  <sheetViews>
    <sheetView tabSelected="1" workbookViewId="0">
      <pane ySplit="1" topLeftCell="A2" activePane="bottomLeft" state="frozen"/>
      <selection pane="bottomLeft" activeCell="E4" sqref="E4"/>
    </sheetView>
  </sheetViews>
  <sheetFormatPr baseColWidth="10" defaultRowHeight="16" x14ac:dyDescent="0.2"/>
  <cols>
    <col min="1" max="1" width="36.6640625" customWidth="1"/>
    <col min="2" max="2" width="19.83203125" customWidth="1"/>
    <col min="3" max="3" width="21.5" customWidth="1"/>
    <col min="4" max="4" width="22.5" customWidth="1"/>
    <col min="5" max="5" width="28.83203125" customWidth="1"/>
    <col min="6" max="6" width="34.5" customWidth="1"/>
    <col min="7" max="7" width="35.6640625" style="18" customWidth="1"/>
    <col min="8" max="8" width="26" customWidth="1"/>
    <col min="9" max="9" width="24" customWidth="1"/>
  </cols>
  <sheetData>
    <row r="1" spans="1:9" s="16" customFormat="1" ht="40" customHeight="1" x14ac:dyDescent="0.2">
      <c r="A1" s="20" t="s">
        <v>318</v>
      </c>
      <c r="B1" s="20" t="s">
        <v>303</v>
      </c>
      <c r="C1" s="20" t="s">
        <v>358</v>
      </c>
      <c r="D1" s="20" t="s">
        <v>359</v>
      </c>
      <c r="E1" s="20" t="s">
        <v>373</v>
      </c>
      <c r="F1" s="20" t="s">
        <v>304</v>
      </c>
      <c r="G1" s="20" t="s">
        <v>320</v>
      </c>
      <c r="H1" s="20" t="s">
        <v>345</v>
      </c>
      <c r="I1" s="20" t="s">
        <v>321</v>
      </c>
    </row>
    <row r="2" spans="1:9" ht="40" customHeight="1" x14ac:dyDescent="0.2">
      <c r="A2" s="17" t="s">
        <v>360</v>
      </c>
      <c r="B2" s="17" t="s">
        <v>305</v>
      </c>
      <c r="C2" s="17">
        <v>3</v>
      </c>
      <c r="D2" s="17">
        <v>9</v>
      </c>
      <c r="E2" s="17">
        <f>TB_Stakholder_Matrix[[#This Row],[Power ]]*TB_Stakholder_Matrix[[#This Row],[Interest ]]</f>
        <v>27</v>
      </c>
      <c r="F2" s="17" t="s">
        <v>313</v>
      </c>
      <c r="G2" s="17" t="s">
        <v>336</v>
      </c>
      <c r="H2" s="17" t="s">
        <v>346</v>
      </c>
      <c r="I2" s="17" t="s">
        <v>325</v>
      </c>
    </row>
    <row r="3" spans="1:9" ht="40" customHeight="1" x14ac:dyDescent="0.2">
      <c r="A3" s="17" t="s">
        <v>361</v>
      </c>
      <c r="B3" s="17" t="s">
        <v>331</v>
      </c>
      <c r="C3" s="17">
        <v>2</v>
      </c>
      <c r="D3" s="17">
        <v>9</v>
      </c>
      <c r="E3" s="17">
        <f>TB_Stakholder_Matrix[[#This Row],[Power ]]*TB_Stakholder_Matrix[[#This Row],[Interest ]]</f>
        <v>18</v>
      </c>
      <c r="F3" s="17" t="s">
        <v>313</v>
      </c>
      <c r="G3" s="17" t="s">
        <v>336</v>
      </c>
      <c r="H3" s="17" t="s">
        <v>346</v>
      </c>
      <c r="I3" s="17" t="s">
        <v>325</v>
      </c>
    </row>
    <row r="4" spans="1:9" ht="40" customHeight="1" x14ac:dyDescent="0.2">
      <c r="A4" s="17" t="s">
        <v>309</v>
      </c>
      <c r="B4" s="17" t="s">
        <v>310</v>
      </c>
      <c r="C4" s="17">
        <v>9</v>
      </c>
      <c r="D4" s="17">
        <v>10</v>
      </c>
      <c r="E4" s="17">
        <f>TB_Stakholder_Matrix[[#This Row],[Power ]]*TB_Stakholder_Matrix[[#This Row],[Interest ]]</f>
        <v>90</v>
      </c>
      <c r="F4" s="17" t="s">
        <v>306</v>
      </c>
      <c r="G4" s="17" t="s">
        <v>337</v>
      </c>
      <c r="H4" s="17" t="s">
        <v>348</v>
      </c>
      <c r="I4" s="17" t="s">
        <v>322</v>
      </c>
    </row>
    <row r="5" spans="1:9" ht="40" customHeight="1" x14ac:dyDescent="0.2">
      <c r="A5" s="17" t="s">
        <v>362</v>
      </c>
      <c r="B5" s="17" t="s">
        <v>310</v>
      </c>
      <c r="C5" s="17">
        <v>10</v>
      </c>
      <c r="D5" s="17">
        <v>10</v>
      </c>
      <c r="E5" s="17">
        <f>TB_Stakholder_Matrix[[#This Row],[Power ]]*TB_Stakholder_Matrix[[#This Row],[Interest ]]</f>
        <v>100</v>
      </c>
      <c r="F5" s="17" t="s">
        <v>306</v>
      </c>
      <c r="G5" s="17" t="s">
        <v>338</v>
      </c>
      <c r="H5" s="17" t="s">
        <v>347</v>
      </c>
      <c r="I5" s="17" t="s">
        <v>322</v>
      </c>
    </row>
    <row r="6" spans="1:9" ht="40" customHeight="1" x14ac:dyDescent="0.2">
      <c r="A6" s="17" t="s">
        <v>328</v>
      </c>
      <c r="B6" s="17" t="s">
        <v>310</v>
      </c>
      <c r="C6" s="17">
        <v>8</v>
      </c>
      <c r="D6" s="17">
        <v>10</v>
      </c>
      <c r="E6" s="17">
        <f>TB_Stakholder_Matrix[[#This Row],[Power ]]*TB_Stakholder_Matrix[[#This Row],[Interest ]]</f>
        <v>80</v>
      </c>
      <c r="F6" s="17" t="s">
        <v>306</v>
      </c>
      <c r="G6" s="17" t="s">
        <v>369</v>
      </c>
      <c r="H6" s="17" t="s">
        <v>370</v>
      </c>
      <c r="I6" s="17" t="s">
        <v>322</v>
      </c>
    </row>
    <row r="7" spans="1:9" ht="40" customHeight="1" x14ac:dyDescent="0.2">
      <c r="A7" s="17" t="s">
        <v>330</v>
      </c>
      <c r="B7" s="17" t="s">
        <v>310</v>
      </c>
      <c r="C7" s="17">
        <v>8</v>
      </c>
      <c r="D7" s="17">
        <v>10</v>
      </c>
      <c r="E7" s="17">
        <f>TB_Stakholder_Matrix[[#This Row],[Power ]]*TB_Stakholder_Matrix[[#This Row],[Interest ]]</f>
        <v>80</v>
      </c>
      <c r="F7" s="17" t="s">
        <v>306</v>
      </c>
      <c r="G7" s="17" t="s">
        <v>371</v>
      </c>
      <c r="H7" s="17" t="s">
        <v>372</v>
      </c>
      <c r="I7" s="17" t="s">
        <v>322</v>
      </c>
    </row>
    <row r="8" spans="1:9" ht="40" customHeight="1" x14ac:dyDescent="0.2">
      <c r="A8" s="17" t="s">
        <v>311</v>
      </c>
      <c r="B8" s="17" t="s">
        <v>312</v>
      </c>
      <c r="C8" s="17">
        <v>4</v>
      </c>
      <c r="D8" s="17">
        <v>6</v>
      </c>
      <c r="E8" s="17">
        <f>TB_Stakholder_Matrix[[#This Row],[Power ]]*TB_Stakholder_Matrix[[#This Row],[Interest ]]</f>
        <v>24</v>
      </c>
      <c r="F8" s="17" t="s">
        <v>313</v>
      </c>
      <c r="G8" s="17" t="s">
        <v>339</v>
      </c>
      <c r="H8" s="17" t="s">
        <v>349</v>
      </c>
      <c r="I8" s="17" t="s">
        <v>325</v>
      </c>
    </row>
    <row r="9" spans="1:9" ht="40" customHeight="1" x14ac:dyDescent="0.2">
      <c r="A9" s="17" t="s">
        <v>317</v>
      </c>
      <c r="B9" s="17" t="s">
        <v>308</v>
      </c>
      <c r="C9" s="17">
        <v>7.5</v>
      </c>
      <c r="D9" s="17">
        <v>9</v>
      </c>
      <c r="E9" s="17">
        <f>TB_Stakholder_Matrix[[#This Row],[Power ]]*TB_Stakholder_Matrix[[#This Row],[Interest ]]</f>
        <v>67.5</v>
      </c>
      <c r="F9" s="17" t="s">
        <v>306</v>
      </c>
      <c r="G9" s="17" t="s">
        <v>340</v>
      </c>
      <c r="H9" s="17" t="s">
        <v>350</v>
      </c>
      <c r="I9" s="17" t="s">
        <v>323</v>
      </c>
    </row>
    <row r="10" spans="1:9" ht="40" customHeight="1" x14ac:dyDescent="0.2">
      <c r="A10" s="17" t="s">
        <v>335</v>
      </c>
      <c r="B10" s="17" t="s">
        <v>308</v>
      </c>
      <c r="C10" s="17">
        <v>7</v>
      </c>
      <c r="D10" s="17">
        <v>9</v>
      </c>
      <c r="E10" s="17">
        <f>TB_Stakholder_Matrix[[#This Row],[Power ]]*TB_Stakholder_Matrix[[#This Row],[Interest ]]</f>
        <v>63</v>
      </c>
      <c r="F10" s="17" t="s">
        <v>306</v>
      </c>
      <c r="G10" s="17" t="s">
        <v>341</v>
      </c>
      <c r="H10" s="17" t="s">
        <v>351</v>
      </c>
      <c r="I10" s="17" t="s">
        <v>323</v>
      </c>
    </row>
    <row r="11" spans="1:9" ht="40" customHeight="1" x14ac:dyDescent="0.2">
      <c r="A11" s="17" t="s">
        <v>332</v>
      </c>
      <c r="B11" s="17" t="s">
        <v>312</v>
      </c>
      <c r="C11" s="17">
        <v>5</v>
      </c>
      <c r="D11" s="17">
        <v>6</v>
      </c>
      <c r="E11" s="17">
        <f>TB_Stakholder_Matrix[[#This Row],[Power ]]*TB_Stakholder_Matrix[[#This Row],[Interest ]]</f>
        <v>30</v>
      </c>
      <c r="F11" s="17" t="s">
        <v>313</v>
      </c>
      <c r="G11" s="17" t="s">
        <v>342</v>
      </c>
      <c r="H11" s="17" t="s">
        <v>352</v>
      </c>
      <c r="I11" s="17" t="s">
        <v>325</v>
      </c>
    </row>
    <row r="12" spans="1:9" ht="40" customHeight="1" x14ac:dyDescent="0.2">
      <c r="A12" s="17" t="s">
        <v>363</v>
      </c>
      <c r="B12" s="17" t="s">
        <v>308</v>
      </c>
      <c r="C12" s="17">
        <v>8</v>
      </c>
      <c r="D12" s="17">
        <v>9</v>
      </c>
      <c r="E12" s="17">
        <f>TB_Stakholder_Matrix[[#This Row],[Power ]]*TB_Stakholder_Matrix[[#This Row],[Interest ]]</f>
        <v>72</v>
      </c>
      <c r="F12" s="17" t="s">
        <v>306</v>
      </c>
      <c r="G12" s="17" t="s">
        <v>343</v>
      </c>
      <c r="H12" s="17" t="s">
        <v>353</v>
      </c>
      <c r="I12" s="17" t="s">
        <v>323</v>
      </c>
    </row>
    <row r="13" spans="1:9" ht="40" customHeight="1" x14ac:dyDescent="0.2">
      <c r="A13" s="17" t="s">
        <v>319</v>
      </c>
      <c r="B13" s="17" t="s">
        <v>315</v>
      </c>
      <c r="C13" s="17">
        <v>8</v>
      </c>
      <c r="D13" s="17">
        <v>2</v>
      </c>
      <c r="E13" s="17">
        <f>TB_Stakholder_Matrix[[#This Row],[Power ]]*TB_Stakholder_Matrix[[#This Row],[Interest ]]</f>
        <v>16</v>
      </c>
      <c r="F13" s="17" t="s">
        <v>316</v>
      </c>
      <c r="G13" s="17" t="s">
        <v>324</v>
      </c>
      <c r="H13" s="17" t="s">
        <v>355</v>
      </c>
      <c r="I13" s="17" t="s">
        <v>325</v>
      </c>
    </row>
    <row r="14" spans="1:9" ht="40" customHeight="1" x14ac:dyDescent="0.2">
      <c r="A14" s="17" t="s">
        <v>329</v>
      </c>
      <c r="B14" s="17" t="s">
        <v>326</v>
      </c>
      <c r="C14" s="17">
        <v>3</v>
      </c>
      <c r="D14" s="17">
        <v>3</v>
      </c>
      <c r="E14" s="17">
        <f>TB_Stakholder_Matrix[[#This Row],[Power ]]*TB_Stakholder_Matrix[[#This Row],[Interest ]]</f>
        <v>9</v>
      </c>
      <c r="F14" s="17" t="s">
        <v>307</v>
      </c>
      <c r="G14" s="17" t="s">
        <v>327</v>
      </c>
      <c r="H14" s="17" t="s">
        <v>355</v>
      </c>
      <c r="I14" s="17" t="s">
        <v>322</v>
      </c>
    </row>
    <row r="15" spans="1:9" ht="40" customHeight="1" x14ac:dyDescent="0.2">
      <c r="A15" s="17" t="s">
        <v>314</v>
      </c>
      <c r="B15" s="17" t="s">
        <v>326</v>
      </c>
      <c r="C15" s="17">
        <v>2</v>
      </c>
      <c r="D15" s="17">
        <v>1</v>
      </c>
      <c r="E15" s="17">
        <f>TB_Stakholder_Matrix[[#This Row],[Power ]]*TB_Stakholder_Matrix[[#This Row],[Interest ]]</f>
        <v>2</v>
      </c>
      <c r="F15" s="17" t="s">
        <v>307</v>
      </c>
      <c r="G15" s="17" t="s">
        <v>354</v>
      </c>
      <c r="H15" s="17" t="s">
        <v>346</v>
      </c>
      <c r="I15" s="17" t="s">
        <v>325</v>
      </c>
    </row>
    <row r="16" spans="1:9" ht="40" customHeight="1" x14ac:dyDescent="0.2">
      <c r="A16" s="17" t="s">
        <v>333</v>
      </c>
      <c r="B16" s="17" t="s">
        <v>334</v>
      </c>
      <c r="C16" s="17">
        <v>2</v>
      </c>
      <c r="D16" s="17">
        <v>7</v>
      </c>
      <c r="E16" s="17">
        <f>TB_Stakholder_Matrix[[#This Row],[Power ]]*TB_Stakholder_Matrix[[#This Row],[Interest ]]</f>
        <v>14</v>
      </c>
      <c r="F16" s="17" t="s">
        <v>313</v>
      </c>
      <c r="G16" s="17" t="s">
        <v>344</v>
      </c>
      <c r="H16" s="17" t="s">
        <v>356</v>
      </c>
      <c r="I16" s="17" t="s">
        <v>325</v>
      </c>
    </row>
    <row r="17" spans="1:3" ht="40" customHeight="1" x14ac:dyDescent="0.2"/>
    <row r="18" spans="1:3" ht="40" customHeight="1" x14ac:dyDescent="0.2"/>
    <row r="19" spans="1:3" ht="40" customHeight="1" x14ac:dyDescent="0.2">
      <c r="A19" s="21" t="s">
        <v>357</v>
      </c>
      <c r="B19" s="21">
        <v>5</v>
      </c>
      <c r="C19" s="21">
        <v>5</v>
      </c>
    </row>
    <row r="20" spans="1:3" ht="40" customHeight="1" x14ac:dyDescent="0.2"/>
  </sheetData>
  <phoneticPr fontId="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3093-0150-3E4E-A5AF-0F933EA595CB}">
  <dimension ref="A1"/>
  <sheetViews>
    <sheetView topLeftCell="A7" workbookViewId="0">
      <selection activeCell="H43" sqref="H43"/>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VOC_Data</vt:lpstr>
      <vt:lpstr>Tagged_Batch</vt:lpstr>
      <vt:lpstr>Pivot Table</vt:lpstr>
      <vt:lpstr>Stakeholder Matrix</vt:lpstr>
      <vt:lpstr>Power Interest Grid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chitrangi doshi</dc:creator>
  <cp:lastModifiedBy>chitrangi doshi</cp:lastModifiedBy>
  <dcterms:created xsi:type="dcterms:W3CDTF">2026-01-23T16:18:52Z</dcterms:created>
  <dcterms:modified xsi:type="dcterms:W3CDTF">2026-03-17T17:16:45Z</dcterms:modified>
</cp:coreProperties>
</file>