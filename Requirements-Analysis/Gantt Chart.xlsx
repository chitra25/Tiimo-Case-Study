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chitrangidoshi/Documents/Buisness Analyst/Case Study/Tiimo/Requirement Analysis/"/>
    </mc:Choice>
  </mc:AlternateContent>
  <xr:revisionPtr revIDLastSave="0" documentId="13_ncr:1_{AEC1442F-35F0-2349-96F1-44C3FF901A5D}" xr6:coauthVersionLast="47" xr6:coauthVersionMax="47" xr10:uidLastSave="{00000000-0000-0000-0000-000000000000}"/>
  <bookViews>
    <workbookView xWindow="0" yWindow="600" windowWidth="28800" windowHeight="15740" xr2:uid="{00000000-000D-0000-FFFF-FFFF00000000}"/>
  </bookViews>
  <sheets>
    <sheet name="Overview" sheetId="1" r:id="rId1"/>
    <sheet name="Executive Gantt" sheetId="2" r:id="rId2"/>
    <sheet name="Delivery Pla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" i="3" l="1"/>
  <c r="G21" i="3"/>
  <c r="G19" i="3"/>
  <c r="G18" i="3"/>
  <c r="G17" i="3"/>
  <c r="G16" i="3"/>
  <c r="G15" i="3"/>
  <c r="G12" i="3"/>
  <c r="G11" i="3"/>
  <c r="G10" i="3"/>
  <c r="G9" i="3"/>
  <c r="G8" i="3"/>
  <c r="G7" i="3"/>
  <c r="G6" i="3"/>
  <c r="G5" i="3"/>
  <c r="G4" i="3"/>
  <c r="F9" i="2"/>
  <c r="F8" i="2"/>
  <c r="F7" i="2"/>
  <c r="F6" i="2"/>
  <c r="F5" i="2"/>
</calcChain>
</file>

<file path=xl/sharedStrings.xml><?xml version="1.0" encoding="utf-8"?>
<sst xmlns="http://schemas.openxmlformats.org/spreadsheetml/2006/main" count="190" uniqueCount="124">
  <si>
    <t>Tiimo Routines MVP Implementation Plan</t>
  </si>
  <si>
    <t>Workbook Guide</t>
  </si>
  <si>
    <t>Objective</t>
  </si>
  <si>
    <t>Business target</t>
  </si>
  <si>
    <t>Delivery window</t>
  </si>
  <si>
    <t>Governance</t>
  </si>
  <si>
    <t>1. Executive Gantt</t>
  </si>
  <si>
    <t>Restore a high-value routines capability through a controlled 8-week MVP delivery and a 4-week monitoring period.</t>
  </si>
  <si>
    <t>Implementation covers weeks 1-8, followed by weeks 9-12 for KPI monitoring and VOC review.</t>
  </si>
  <si>
    <t>2. Delivery Plan</t>
  </si>
  <si>
    <t>Phase</t>
  </si>
  <si>
    <t>Outcome</t>
  </si>
  <si>
    <t>Timing</t>
  </si>
  <si>
    <t>Sprint 1</t>
  </si>
  <si>
    <t>Weeks 1-2</t>
  </si>
  <si>
    <t>Sprint 2</t>
  </si>
  <si>
    <t>Weeks 3-4</t>
  </si>
  <si>
    <t>Sprint 3</t>
  </si>
  <si>
    <t>Weeks 5-6</t>
  </si>
  <si>
    <t>Sprint 4</t>
  </si>
  <si>
    <t>Release readiness approved and production deployment completed</t>
  </si>
  <si>
    <t>Weeks 7-8</t>
  </si>
  <si>
    <t>Monitoring</t>
  </si>
  <si>
    <t>Adoption, rating, churn, and VOC signals reviewed</t>
  </si>
  <si>
    <t>Weeks 9-12</t>
  </si>
  <si>
    <t>Executive Gantt View</t>
  </si>
  <si>
    <t>Owner</t>
  </si>
  <si>
    <t>Start</t>
  </si>
  <si>
    <t>End</t>
  </si>
  <si>
    <t>Duration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</si>
  <si>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</si>
  <si>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</si>
  <si>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</si>
  <si>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</si>
  <si>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</si>
  <si>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</si>
  <si>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</si>
  <si>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</si>
  <si>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</si>
  <si>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</si>
  <si>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</si>
  <si>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</si>
  <si>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01-Apr</t>
  </si>
  <si>
    <t>15-Apr</t>
  </si>
  <si>
    <t>22-Apr</t>
  </si>
  <si>
    <t>29-Apr</t>
  </si>
  <si>
    <t>06-May</t>
  </si>
  <si>
    <t>13-May</t>
  </si>
  <si>
    <t>20-May</t>
  </si>
  <si>
    <t>27-May</t>
  </si>
  <si>
    <t>03-Jun</t>
  </si>
  <si>
    <t>10-Jun</t>
  </si>
  <si>
    <t>17-Jun</t>
  </si>
  <si>
    <t>Sprint 1 validation and delivery</t>
  </si>
  <si>
    <t>Sprint 2 validation and delivery</t>
  </si>
  <si>
    <t>Sprint 4 release readiness and deployment</t>
  </si>
  <si>
    <t>Post-launch monitoring</t>
  </si>
  <si>
    <t>BA</t>
  </si>
  <si>
    <t>Decision gates</t>
  </si>
  <si>
    <t>G1</t>
  </si>
  <si>
    <t>G2</t>
  </si>
  <si>
    <t>Go-live</t>
  </si>
  <si>
    <t>Detailed Delivery Plan</t>
  </si>
  <si>
    <t>Task ID</t>
  </si>
  <si>
    <t>Workstream</t>
  </si>
  <si>
    <t>Task Name</t>
  </si>
  <si>
    <t>Start Date</t>
  </si>
  <si>
    <t>End Date</t>
  </si>
  <si>
    <t>Duration (days)</t>
  </si>
  <si>
    <t>Dependency</t>
  </si>
  <si>
    <t>Status</t>
  </si>
  <si>
    <t>PLN-01</t>
  </si>
  <si>
    <t>Planning</t>
  </si>
  <si>
    <t>Project kickoff and sprint planning</t>
  </si>
  <si>
    <t>PM</t>
  </si>
  <si>
    <t>Completed</t>
  </si>
  <si>
    <t>BA-01</t>
  </si>
  <si>
    <t>Analysis</t>
  </si>
  <si>
    <t>DEV-01</t>
  </si>
  <si>
    <t>Build</t>
  </si>
  <si>
    <t>Develop routine creation and timer capability</t>
  </si>
  <si>
    <t>Development</t>
  </si>
  <si>
    <t>Planned</t>
  </si>
  <si>
    <t>QA-01</t>
  </si>
  <si>
    <t>Quality</t>
  </si>
  <si>
    <t>Execute Sprint 1 unit testing</t>
  </si>
  <si>
    <t>QA</t>
  </si>
  <si>
    <t>G-01</t>
  </si>
  <si>
    <t>Gate 1 approval for Sprint 1 scope</t>
  </si>
  <si>
    <t>BA-02</t>
  </si>
  <si>
    <t>Refine backlog and validate Sprint 2 process design</t>
  </si>
  <si>
    <t>DEV-02</t>
  </si>
  <si>
    <t>Develop library save and server-side repeat logic</t>
  </si>
  <si>
    <t>QA-02</t>
  </si>
  <si>
    <t>Execute Sprint 2 integration testing</t>
  </si>
  <si>
    <t>G-02</t>
  </si>
  <si>
    <t>BA-03</t>
  </si>
  <si>
    <t>Prepare UAT scenarios using validated personas</t>
  </si>
  <si>
    <t>DEV-03</t>
  </si>
  <si>
    <t>QA-03</t>
  </si>
  <si>
    <t>Conduct beta testing and defect triage</t>
  </si>
  <si>
    <t>G-03</t>
  </si>
  <si>
    <t>Gate 3 beta readiness decision</t>
  </si>
  <si>
    <t>BA-04</t>
  </si>
  <si>
    <t>Coordinate go-live readiness and deployment checklist</t>
  </si>
  <si>
    <t>DEV-04</t>
  </si>
  <si>
    <t>Implement conflict checks and production hardening</t>
  </si>
  <si>
    <t>QA-04</t>
  </si>
  <si>
    <t>Execute regression testing and release validation</t>
  </si>
  <si>
    <t>REL-01</t>
  </si>
  <si>
    <t>Release</t>
  </si>
  <si>
    <t>Production deployment and handover</t>
  </si>
  <si>
    <t>MON-01</t>
  </si>
  <si>
    <t>Review KPI trends, churn signals, and VOC feedback</t>
  </si>
  <si>
    <t>Support the case study target of reducing iPhone churn by 13 percent and protecting projected ARR.</t>
  </si>
  <si>
    <t>Design and initial development of the MVP completed</t>
  </si>
  <si>
    <t>Server Side logic and integration scope completed</t>
  </si>
  <si>
    <t>BA / Design / Development / QA</t>
  </si>
  <si>
    <t>QA testing and beta readiness reviewed through UAT and defect triage</t>
  </si>
  <si>
    <t>Sprint 3 testing, beta preparation and build</t>
  </si>
  <si>
    <t>Two sprint gates plus go-live approval demonstrate disciplined delivery approach.</t>
  </si>
  <si>
    <t>Validate Sprint 1 requirements and MVP design</t>
  </si>
  <si>
    <t>Build calendar sync and batch add capability</t>
  </si>
  <si>
    <t>Monitor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</si>
</sst>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"/>
    <numFmt numFmtId="165" formatCode="dd\-mmm\-yy"/>
  </numFmts>
  <fonts count="19" x14ac:knownFonts="1">
    <font>
      <sz val="11"/>
      <color theme="1"/>
      <name val="Calibri"/>
      <family val="2"/>
      <scheme val="minor"/>
    </font>
    <font>
      <b/>
      <sz val="10"/>
      <color rgb="FF1F1F1F"/>
      <name val="Times New Roman"/>
      <family val="1"/>
    </font>
    <font>
      <sz val="11"/>
      <color theme="1"/>
      <name val="Times New Roman"/>
      <family val="1"/>
    </font>
    <font>
      <b/>
      <sz val="11"/>
      <color rgb="FFFFFFFF"/>
      <name val="Times New Roman"/>
      <family val="1"/>
    </font>
    <font>
      <u/>
      <sz val="10"/>
      <color rgb="FF0563C1"/>
      <name val="Times New Roman"/>
      <family val="1"/>
    </font>
    <font>
      <sz val="10"/>
      <color rgb="FF1F1F1F"/>
      <name val="Times New Roman"/>
      <family val="1"/>
    </font>
    <font>
      <b/>
      <sz val="20"/>
      <color rgb="FF1F1F1F"/>
      <name val="Times New Roman"/>
      <family val="1"/>
    </font>
    <font>
      <sz val="20"/>
      <color theme="1"/>
      <name val="Times New Roman"/>
      <family val="1"/>
    </font>
    <font>
      <i/>
      <sz val="10"/>
      <color rgb="FF666666"/>
      <name val="Times New Roman"/>
      <family val="1"/>
    </font>
    <font>
      <b/>
      <sz val="16"/>
      <color rgb="FF1F1F1F"/>
      <name val="Times New Roman"/>
      <family val="1"/>
    </font>
    <font>
      <b/>
      <sz val="12"/>
      <color rgb="FFFFFFFF"/>
      <name val="Times New Roman"/>
      <family val="1"/>
    </font>
    <font>
      <sz val="12"/>
      <color theme="1"/>
      <name val="Times New Roman"/>
      <family val="1"/>
    </font>
    <font>
      <sz val="12"/>
      <color rgb="FF1F1F1F"/>
      <name val="Times New Roman"/>
      <family val="1"/>
    </font>
    <font>
      <u/>
      <sz val="12"/>
      <color rgb="FF0563C1"/>
      <name val="Times New Roman"/>
      <family val="1"/>
    </font>
    <font>
      <b/>
      <sz val="12"/>
      <color rgb="FF1F1F1F"/>
      <name val="Times New Roman"/>
      <family val="1"/>
    </font>
    <font>
      <i/>
      <sz val="12"/>
      <color rgb="FF666666"/>
      <name val="Times New Roman"/>
      <family val="1"/>
    </font>
    <font>
      <b/>
      <sz val="16"/>
      <color rgb="FFFFFFFF"/>
      <name val="Times New Roman"/>
      <family val="1"/>
    </font>
    <font>
      <sz val="16"/>
      <color theme="1"/>
      <name val="Times New Roman"/>
      <family val="1"/>
    </font>
    <font>
      <sz val="12"/>
      <color rgb="FF000000"/>
      <name val="Times New Roman"/>
      <family val="1"/>
    </font>
  </fonts>
  <fills count="1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7F9FC"/>
      </patternFill>
    </fill>
    <fill>
      <patternFill patternType="solid">
        <fgColor rgb="FFFFFFFF"/>
      </patternFill>
    </fill>
    <fill>
      <patternFill patternType="solid">
        <fgColor rgb="FFDBE5F1"/>
      </patternFill>
    </fill>
    <fill>
      <patternFill patternType="solid">
        <fgColor rgb="FFE4DFEC"/>
      </patternFill>
    </fill>
    <fill>
      <patternFill patternType="solid">
        <fgColor rgb="FFC00000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3F1D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3" fillId="0" borderId="1" xfId="0" applyFont="1" applyBorder="1" applyAlignment="1">
      <alignment vertical="center"/>
    </xf>
    <xf numFmtId="0" fontId="5" fillId="0" borderId="1" xfId="0" applyFont="1" applyBorder="1" applyAlignment="1">
      <alignment vertical="top" wrapText="1"/>
    </xf>
    <xf numFmtId="0" fontId="2" fillId="0" borderId="1" xfId="0" applyFont="1" applyBorder="1"/>
    <xf numFmtId="0" fontId="6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11" fillId="0" borderId="1" xfId="0" applyFont="1" applyBorder="1"/>
    <xf numFmtId="0" fontId="13" fillId="0" borderId="0" xfId="0" applyFont="1"/>
    <xf numFmtId="0" fontId="11" fillId="0" borderId="0" xfId="0" applyFont="1"/>
    <xf numFmtId="0" fontId="10" fillId="2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/>
    </xf>
    <xf numFmtId="0" fontId="14" fillId="5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164" fontId="12" fillId="4" borderId="1" xfId="0" applyNumberFormat="1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1" fillId="2" borderId="1" xfId="0" applyFont="1" applyFill="1" applyBorder="1"/>
    <xf numFmtId="0" fontId="11" fillId="4" borderId="1" xfId="0" applyFont="1" applyFill="1" applyBorder="1"/>
    <xf numFmtId="0" fontId="12" fillId="6" borderId="1" xfId="0" applyFont="1" applyFill="1" applyBorder="1" applyAlignment="1">
      <alignment horizontal="left" vertical="center"/>
    </xf>
    <xf numFmtId="164" fontId="12" fillId="6" borderId="1" xfId="0" applyNumberFormat="1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1" fillId="6" borderId="1" xfId="0" applyFont="1" applyFill="1" applyBorder="1"/>
    <xf numFmtId="0" fontId="14" fillId="0" borderId="1" xfId="0" applyFont="1" applyBorder="1"/>
    <xf numFmtId="0" fontId="10" fillId="7" borderId="1" xfId="0" applyFont="1" applyFill="1" applyBorder="1" applyAlignment="1">
      <alignment horizontal="center" vertical="center"/>
    </xf>
    <xf numFmtId="16" fontId="15" fillId="0" borderId="1" xfId="0" applyNumberFormat="1" applyFont="1" applyBorder="1" applyAlignment="1">
      <alignment horizontal="center" vertical="center"/>
    </xf>
    <xf numFmtId="0" fontId="12" fillId="8" borderId="1" xfId="0" applyFont="1" applyFill="1" applyBorder="1" applyAlignment="1">
      <alignment horizontal="left" vertical="center"/>
    </xf>
    <xf numFmtId="0" fontId="12" fillId="8" borderId="1" xfId="0" applyFont="1" applyFill="1" applyBorder="1" applyAlignment="1">
      <alignment horizontal="center" vertical="center"/>
    </xf>
    <xf numFmtId="165" fontId="12" fillId="8" borderId="1" xfId="0" applyNumberFormat="1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left" vertical="center"/>
    </xf>
    <xf numFmtId="0" fontId="12" fillId="9" borderId="1" xfId="0" applyFont="1" applyFill="1" applyBorder="1" applyAlignment="1">
      <alignment horizontal="center" vertical="center"/>
    </xf>
    <xf numFmtId="165" fontId="12" fillId="9" borderId="1" xfId="0" applyNumberFormat="1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left" vertical="center"/>
    </xf>
    <xf numFmtId="0" fontId="12" fillId="10" borderId="1" xfId="0" applyFont="1" applyFill="1" applyBorder="1" applyAlignment="1">
      <alignment horizontal="center" vertical="center"/>
    </xf>
    <xf numFmtId="165" fontId="12" fillId="10" borderId="1" xfId="0" applyNumberFormat="1" applyFont="1" applyFill="1" applyBorder="1" applyAlignment="1">
      <alignment horizontal="center" vertical="center"/>
    </xf>
    <xf numFmtId="0" fontId="12" fillId="11" borderId="1" xfId="0" applyFont="1" applyFill="1" applyBorder="1" applyAlignment="1">
      <alignment horizontal="left" vertical="center"/>
    </xf>
    <xf numFmtId="0" fontId="12" fillId="11" borderId="1" xfId="0" applyFont="1" applyFill="1" applyBorder="1" applyAlignment="1">
      <alignment horizontal="center" vertical="center"/>
    </xf>
    <xf numFmtId="165" fontId="12" fillId="11" borderId="1" xfId="0" applyNumberFormat="1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left" vertical="center"/>
    </xf>
    <xf numFmtId="165" fontId="10" fillId="7" borderId="1" xfId="0" applyNumberFormat="1" applyFont="1" applyFill="1" applyBorder="1" applyAlignment="1">
      <alignment horizontal="center" vertical="center"/>
    </xf>
    <xf numFmtId="165" fontId="12" fillId="6" borderId="1" xfId="0" applyNumberFormat="1" applyFont="1" applyFill="1" applyBorder="1" applyAlignment="1">
      <alignment horizontal="center" vertical="center"/>
    </xf>
    <xf numFmtId="0" fontId="12" fillId="13" borderId="1" xfId="0" applyFont="1" applyFill="1" applyBorder="1" applyAlignment="1">
      <alignment horizontal="left" vertical="center"/>
    </xf>
    <xf numFmtId="0" fontId="16" fillId="2" borderId="1" xfId="0" applyFont="1" applyFill="1" applyBorder="1" applyAlignment="1">
      <alignment horizontal="center" vertical="center"/>
    </xf>
    <xf numFmtId="0" fontId="9" fillId="0" borderId="0" xfId="0" applyFont="1"/>
    <xf numFmtId="0" fontId="18" fillId="10" borderId="1" xfId="0" applyFont="1" applyFill="1" applyBorder="1" applyAlignment="1">
      <alignment vertical="center"/>
    </xf>
    <xf numFmtId="0" fontId="12" fillId="14" borderId="1" xfId="0" applyFont="1" applyFill="1" applyBorder="1" applyAlignment="1">
      <alignment vertical="center"/>
    </xf>
    <xf numFmtId="165" fontId="12" fillId="14" borderId="1" xfId="0" applyNumberFormat="1" applyFont="1" applyFill="1" applyBorder="1" applyAlignment="1">
      <alignment horizontal="center" vertical="center"/>
    </xf>
    <xf numFmtId="0" fontId="12" fillId="14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6" fillId="12" borderId="0" xfId="0" applyFont="1" applyFill="1" applyAlignment="1">
      <alignment horizontal="center" vertical="center"/>
    </xf>
    <xf numFmtId="0" fontId="7" fillId="12" borderId="0" xfId="0" applyFont="1" applyFill="1" applyAlignment="1">
      <alignment horizontal="center"/>
    </xf>
    <xf numFmtId="0" fontId="8" fillId="0" borderId="0" xfId="0" applyFont="1" applyAlignment="1">
      <alignment horizontal="left" vertical="center"/>
    </xf>
    <xf numFmtId="0" fontId="2" fillId="0" borderId="0" xfId="0" applyFont="1"/>
    <xf numFmtId="0" fontId="16" fillId="2" borderId="8" xfId="0" applyFont="1" applyFill="1" applyBorder="1" applyAlignment="1">
      <alignment horizontal="center" vertical="center"/>
    </xf>
    <xf numFmtId="0" fontId="16" fillId="2" borderId="9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left" vertical="top" wrapText="1"/>
    </xf>
    <xf numFmtId="0" fontId="12" fillId="3" borderId="3" xfId="0" applyFont="1" applyFill="1" applyBorder="1" applyAlignment="1">
      <alignment horizontal="left" vertical="top" wrapText="1"/>
    </xf>
    <xf numFmtId="0" fontId="12" fillId="3" borderId="4" xfId="0" applyFont="1" applyFill="1" applyBorder="1" applyAlignment="1">
      <alignment horizontal="left" vertical="top" wrapText="1"/>
    </xf>
    <xf numFmtId="0" fontId="12" fillId="3" borderId="5" xfId="0" applyFont="1" applyFill="1" applyBorder="1" applyAlignment="1">
      <alignment horizontal="left" vertical="top" wrapText="1"/>
    </xf>
    <xf numFmtId="0" fontId="12" fillId="3" borderId="6" xfId="0" applyFont="1" applyFill="1" applyBorder="1" applyAlignment="1">
      <alignment horizontal="left" vertical="top" wrapText="1"/>
    </xf>
    <xf numFmtId="0" fontId="12" fillId="3" borderId="7" xfId="0" applyFont="1" applyFill="1" applyBorder="1" applyAlignment="1">
      <alignment horizontal="left" vertical="top" wrapText="1"/>
    </xf>
    <xf numFmtId="0" fontId="16" fillId="2" borderId="1" xfId="0" applyFont="1" applyFill="1" applyBorder="1" applyAlignment="1">
      <alignment horizontal="center" vertical="center"/>
    </xf>
    <xf numFmtId="0" fontId="17" fillId="0" borderId="1" xfId="0" applyFont="1" applyBorder="1"/>
    <xf numFmtId="0" fontId="12" fillId="3" borderId="1" xfId="0" applyFont="1" applyFill="1" applyBorder="1" applyAlignment="1">
      <alignment horizontal="left" vertical="top" wrapText="1"/>
    </xf>
    <xf numFmtId="0" fontId="11" fillId="0" borderId="1" xfId="0" applyFont="1" applyBorder="1"/>
  </cellXfs>
  <cellStyles count="1">
    <cellStyle name="Normal" xfId="0" builtinId="0"/>
  </cellStyles>
  <dxfs count="12"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6"/>
        <color rgb="FFFFFFFF"/>
        <name val="Times New Roman"/>
        <family val="1"/>
        <scheme val="none"/>
      </font>
    </dxf>
  </dxfs>
  <tableStyles count="0" defaultTableStyle="TableStyleMedium9" defaultPivotStyle="PivotStyleLight16"/>
  <colors>
    <mruColors>
      <color rgb="FFE3F1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liveryPlan" displayName="DeliveryPlan" ref="A3:I21" headerRowDxfId="11" dataDxfId="10" totalsRowDxfId="9">
  <autoFilter ref="A3:I21" xr:uid="{00000000-0009-0000-0100-000001000000}"/>
  <tableColumns count="9">
    <tableColumn id="2" xr3:uid="{00000000-0010-0000-0000-000002000000}" name="Task ID" dataDxfId="8"/>
    <tableColumn id="3" xr3:uid="{00000000-0010-0000-0000-000003000000}" name="Workstream" dataDxfId="7"/>
    <tableColumn id="4" xr3:uid="{00000000-0010-0000-0000-000004000000}" name="Task Name" dataDxfId="6"/>
    <tableColumn id="5" xr3:uid="{00000000-0010-0000-0000-000005000000}" name="Owner" dataDxfId="5"/>
    <tableColumn id="6" xr3:uid="{00000000-0010-0000-0000-000006000000}" name="Start Date" dataDxfId="4"/>
    <tableColumn id="7" xr3:uid="{00000000-0010-0000-0000-000007000000}" name="End Date" dataDxfId="3"/>
    <tableColumn id="8" xr3:uid="{00000000-0010-0000-0000-000008000000}" name="Duration (days)" dataDxfId="2"/>
    <tableColumn id="9" xr3:uid="{00000000-0010-0000-0000-000009000000}" name="Dependency" dataDxfId="1"/>
    <tableColumn id="10" xr3:uid="{00000000-0010-0000-0000-00000A000000}" name="Status" dataDxfId="0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zoomScaleNormal="100" workbookViewId="0">
      <selection activeCell="E15" sqref="E15"/>
    </sheetView>
  </sheetViews>
  <sheetFormatPr baseColWidth="10" defaultColWidth="8.83203125" defaultRowHeight="14" x14ac:dyDescent="0.15"/>
  <cols>
    <col min="1" max="1" width="20" style="2" customWidth="1"/>
    <col min="2" max="2" width="57.6640625" style="2" customWidth="1"/>
    <col min="3" max="4" width="18" style="2" customWidth="1"/>
    <col min="5" max="5" width="21.6640625" style="2" customWidth="1"/>
    <col min="6" max="13" width="18" style="2" customWidth="1"/>
    <col min="14" max="16384" width="8.83203125" style="2"/>
  </cols>
  <sheetData>
    <row r="1" spans="1:14" ht="52" customHeight="1" x14ac:dyDescent="0.15">
      <c r="A1" s="50" t="s">
        <v>0</v>
      </c>
      <c r="B1" s="50"/>
      <c r="C1" s="50"/>
      <c r="D1" s="50"/>
      <c r="E1" s="50"/>
      <c r="F1" s="50"/>
      <c r="G1" s="50"/>
      <c r="H1" s="50"/>
      <c r="I1" s="7"/>
      <c r="J1" s="7"/>
      <c r="K1" s="7"/>
      <c r="L1" s="7"/>
      <c r="M1" s="7"/>
    </row>
    <row r="2" spans="1:14" x14ac:dyDescent="0.15">
      <c r="A2" s="52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</row>
    <row r="4" spans="1:14" ht="30" customHeight="1" x14ac:dyDescent="0.2">
      <c r="A4" s="54" t="s">
        <v>2</v>
      </c>
      <c r="B4" s="55"/>
      <c r="C4" s="62" t="s">
        <v>3</v>
      </c>
      <c r="D4" s="63"/>
      <c r="E4" s="63"/>
      <c r="F4" s="62" t="s">
        <v>4</v>
      </c>
      <c r="G4" s="63"/>
      <c r="H4" s="63"/>
      <c r="I4" s="62" t="s">
        <v>5</v>
      </c>
      <c r="J4" s="63"/>
      <c r="K4" s="63"/>
      <c r="L4" s="4"/>
      <c r="M4" s="6"/>
      <c r="N4" s="6"/>
    </row>
    <row r="5" spans="1:14" ht="14" customHeight="1" x14ac:dyDescent="0.15">
      <c r="A5" s="56" t="s">
        <v>7</v>
      </c>
      <c r="B5" s="57"/>
      <c r="C5" s="64" t="s">
        <v>114</v>
      </c>
      <c r="D5" s="65"/>
      <c r="E5" s="65"/>
      <c r="F5" s="64" t="s">
        <v>8</v>
      </c>
      <c r="G5" s="65"/>
      <c r="H5" s="65"/>
      <c r="I5" s="64" t="s">
        <v>120</v>
      </c>
      <c r="J5" s="65"/>
      <c r="K5" s="65"/>
      <c r="L5" s="5"/>
      <c r="M5" s="6"/>
      <c r="N5" s="6"/>
    </row>
    <row r="6" spans="1:14" ht="14" customHeight="1" x14ac:dyDescent="0.15">
      <c r="A6" s="58"/>
      <c r="B6" s="59"/>
      <c r="C6" s="65"/>
      <c r="D6" s="65"/>
      <c r="E6" s="65"/>
      <c r="F6" s="65"/>
      <c r="G6" s="65"/>
      <c r="H6" s="65"/>
      <c r="I6" s="65"/>
      <c r="J6" s="65"/>
      <c r="K6" s="65"/>
      <c r="L6" s="6"/>
      <c r="M6" s="6"/>
      <c r="N6" s="6"/>
    </row>
    <row r="7" spans="1:14" ht="14" customHeight="1" x14ac:dyDescent="0.15">
      <c r="A7" s="60"/>
      <c r="B7" s="61"/>
      <c r="C7" s="65"/>
      <c r="D7" s="65"/>
      <c r="E7" s="65"/>
      <c r="F7" s="65"/>
      <c r="G7" s="65"/>
      <c r="H7" s="65"/>
      <c r="I7" s="65"/>
      <c r="J7" s="65"/>
      <c r="K7" s="65"/>
      <c r="L7" s="6"/>
      <c r="M7" s="6"/>
      <c r="N7" s="6"/>
    </row>
    <row r="8" spans="1:14" ht="16" x14ac:dyDescent="0.2">
      <c r="A8" s="10"/>
      <c r="B8" s="11"/>
      <c r="C8" s="11"/>
      <c r="D8" s="11"/>
      <c r="E8" s="11"/>
      <c r="F8" s="11"/>
      <c r="G8" s="11"/>
      <c r="H8" s="11"/>
    </row>
    <row r="9" spans="1:14" ht="16" x14ac:dyDescent="0.2">
      <c r="A9" s="11"/>
      <c r="B9" s="11"/>
      <c r="C9" s="11"/>
      <c r="D9" s="11"/>
      <c r="E9" s="11"/>
      <c r="F9" s="11"/>
      <c r="G9" s="11"/>
      <c r="H9" s="11"/>
    </row>
    <row r="10" spans="1:14" ht="16" x14ac:dyDescent="0.2">
      <c r="A10" s="11"/>
      <c r="B10" s="11"/>
      <c r="C10" s="11"/>
      <c r="D10" s="11"/>
      <c r="E10" s="11"/>
      <c r="F10" s="11"/>
      <c r="G10" s="11"/>
      <c r="H10" s="11"/>
    </row>
    <row r="11" spans="1:14" ht="25" customHeight="1" x14ac:dyDescent="0.2">
      <c r="A11" s="43" t="s">
        <v>10</v>
      </c>
      <c r="B11" s="43" t="s">
        <v>11</v>
      </c>
      <c r="C11" s="43" t="s">
        <v>12</v>
      </c>
      <c r="D11" s="11"/>
      <c r="E11" s="44" t="s">
        <v>1</v>
      </c>
      <c r="F11" s="11"/>
      <c r="G11" s="11"/>
      <c r="H11" s="11"/>
    </row>
    <row r="12" spans="1:14" ht="25" customHeight="1" x14ac:dyDescent="0.2">
      <c r="A12" s="42" t="s">
        <v>13</v>
      </c>
      <c r="B12" s="42" t="s">
        <v>115</v>
      </c>
      <c r="C12" s="42" t="s">
        <v>14</v>
      </c>
      <c r="D12" s="11"/>
      <c r="E12" s="10" t="s">
        <v>6</v>
      </c>
      <c r="F12" s="11"/>
      <c r="G12" s="11"/>
      <c r="H12" s="11"/>
    </row>
    <row r="13" spans="1:14" ht="25" customHeight="1" x14ac:dyDescent="0.2">
      <c r="A13" s="42" t="s">
        <v>15</v>
      </c>
      <c r="B13" s="42" t="s">
        <v>116</v>
      </c>
      <c r="C13" s="42" t="s">
        <v>16</v>
      </c>
      <c r="D13" s="11"/>
      <c r="E13" s="10" t="s">
        <v>9</v>
      </c>
      <c r="F13" s="11"/>
      <c r="G13" s="11"/>
      <c r="H13" s="11"/>
    </row>
    <row r="14" spans="1:14" ht="25" customHeight="1" x14ac:dyDescent="0.2">
      <c r="A14" s="42" t="s">
        <v>17</v>
      </c>
      <c r="B14" s="42" t="s">
        <v>118</v>
      </c>
      <c r="C14" s="42" t="s">
        <v>18</v>
      </c>
      <c r="D14" s="11"/>
      <c r="E14" s="10"/>
      <c r="F14" s="11"/>
      <c r="G14" s="11"/>
      <c r="H14" s="11"/>
    </row>
    <row r="15" spans="1:14" ht="25" customHeight="1" x14ac:dyDescent="0.2">
      <c r="A15" s="42" t="s">
        <v>19</v>
      </c>
      <c r="B15" s="42" t="s">
        <v>20</v>
      </c>
      <c r="C15" s="42" t="s">
        <v>21</v>
      </c>
      <c r="D15" s="11"/>
      <c r="E15" s="11"/>
      <c r="F15" s="11"/>
      <c r="G15" s="11"/>
      <c r="H15" s="11"/>
    </row>
    <row r="16" spans="1:14" ht="25" customHeight="1" x14ac:dyDescent="0.2">
      <c r="A16" s="42" t="s">
        <v>22</v>
      </c>
      <c r="B16" s="42" t="s">
        <v>23</v>
      </c>
      <c r="C16" s="42" t="s">
        <v>24</v>
      </c>
      <c r="D16" s="11"/>
      <c r="E16" s="11"/>
      <c r="F16" s="11"/>
      <c r="G16" s="11"/>
      <c r="H16" s="11"/>
    </row>
    <row r="20" spans="1:1" ht="20" customHeight="1" x14ac:dyDescent="0.15">
      <c r="A20" s="1"/>
    </row>
    <row r="21" spans="1:1" ht="20" customHeight="1" x14ac:dyDescent="0.15">
      <c r="A21" s="3"/>
    </row>
    <row r="22" spans="1:1" ht="20" customHeight="1" x14ac:dyDescent="0.15">
      <c r="A22" s="3"/>
    </row>
    <row r="23" spans="1:1" ht="20" customHeight="1" x14ac:dyDescent="0.15">
      <c r="A23" s="3"/>
    </row>
  </sheetData>
  <mergeCells count="10">
    <mergeCell ref="A2:M2"/>
    <mergeCell ref="A1:H1"/>
    <mergeCell ref="A4:B4"/>
    <mergeCell ref="A5:B7"/>
    <mergeCell ref="I4:K4"/>
    <mergeCell ref="F5:H7"/>
    <mergeCell ref="C5:E7"/>
    <mergeCell ref="C4:E4"/>
    <mergeCell ref="F4:H4"/>
    <mergeCell ref="I5:K7"/>
  </mergeCells>
  <hyperlinks>
    <hyperlink ref="E12" location="'Executive Gantt'!B2" display="1. Executive Gantt" xr:uid="{C2240B74-4ED6-6C4A-A40D-3ED2B8B94B5E}"/>
    <hyperlink ref="E13" location="'Delivery Plan'!B2" display="2. Delivery Plan" xr:uid="{6986737D-5585-3046-BD4A-621A692460DA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R11"/>
  <sheetViews>
    <sheetView workbookViewId="0">
      <pane xSplit="1" ySplit="3" topLeftCell="B4" activePane="bottomRight" state="frozen"/>
      <selection pane="topRight"/>
      <selection pane="bottomLeft"/>
      <selection pane="bottomRight" activeCell="N11" sqref="N11"/>
    </sheetView>
  </sheetViews>
  <sheetFormatPr baseColWidth="10" defaultColWidth="8.83203125" defaultRowHeight="14" x14ac:dyDescent="0.15"/>
  <cols>
    <col min="1" max="1" width="3" style="2" customWidth="1"/>
    <col min="2" max="2" width="38" style="2" customWidth="1"/>
    <col min="3" max="3" width="27.83203125" style="2" customWidth="1"/>
    <col min="4" max="6" width="12" style="2" customWidth="1"/>
    <col min="7" max="18" width="10" style="2" customWidth="1"/>
    <col min="19" max="16384" width="8.83203125" style="2"/>
  </cols>
  <sheetData>
    <row r="1" spans="2:18" s="8" customFormat="1" ht="50" customHeight="1" x14ac:dyDescent="0.15">
      <c r="B1" s="50" t="s">
        <v>25</v>
      </c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</row>
    <row r="3" spans="2:18" ht="30" customHeight="1" x14ac:dyDescent="0.15">
      <c r="B3" s="12" t="s">
        <v>10</v>
      </c>
      <c r="C3" s="12" t="s">
        <v>26</v>
      </c>
      <c r="D3" s="12" t="s">
        <v>27</v>
      </c>
      <c r="E3" s="12" t="s">
        <v>28</v>
      </c>
      <c r="F3" s="12" t="s">
        <v>29</v>
      </c>
      <c r="G3" s="14" t="s">
        <v>30</v>
      </c>
      <c r="H3" s="14" t="s">
        <v>31</v>
      </c>
      <c r="I3" s="14" t="s">
        <v>32</v>
      </c>
      <c r="J3" s="14" t="s">
        <v>33</v>
      </c>
      <c r="K3" s="14" t="s">
        <v>34</v>
      </c>
      <c r="L3" s="14" t="s">
        <v>35</v>
      </c>
      <c r="M3" s="14" t="s">
        <v>36</v>
      </c>
      <c r="N3" s="14" t="s">
        <v>37</v>
      </c>
      <c r="O3" s="14" t="s">
        <v>38</v>
      </c>
      <c r="P3" s="14" t="s">
        <v>39</v>
      </c>
      <c r="Q3" s="14" t="s">
        <v>40</v>
      </c>
      <c r="R3" s="14" t="s">
        <v>41</v>
      </c>
    </row>
    <row r="4" spans="2:18" ht="30" customHeight="1" x14ac:dyDescent="0.2">
      <c r="B4" s="11"/>
      <c r="C4" s="11"/>
      <c r="D4" s="11"/>
      <c r="E4" s="11"/>
      <c r="F4" s="11"/>
      <c r="G4" s="15" t="s">
        <v>42</v>
      </c>
      <c r="H4" s="26">
        <v>46120</v>
      </c>
      <c r="I4" s="15" t="s">
        <v>43</v>
      </c>
      <c r="J4" s="15" t="s">
        <v>44</v>
      </c>
      <c r="K4" s="15" t="s">
        <v>45</v>
      </c>
      <c r="L4" s="15" t="s">
        <v>46</v>
      </c>
      <c r="M4" s="15" t="s">
        <v>47</v>
      </c>
      <c r="N4" s="15" t="s">
        <v>48</v>
      </c>
      <c r="O4" s="15" t="s">
        <v>49</v>
      </c>
      <c r="P4" s="15" t="s">
        <v>50</v>
      </c>
      <c r="Q4" s="15" t="s">
        <v>51</v>
      </c>
      <c r="R4" s="15" t="s">
        <v>52</v>
      </c>
    </row>
    <row r="5" spans="2:18" ht="30" customHeight="1" x14ac:dyDescent="0.2">
      <c r="B5" s="13" t="s">
        <v>53</v>
      </c>
      <c r="C5" s="13" t="s">
        <v>117</v>
      </c>
      <c r="D5" s="16">
        <v>46113</v>
      </c>
      <c r="E5" s="16">
        <v>46126</v>
      </c>
      <c r="F5" s="17">
        <f>E5-D5+1</f>
        <v>14</v>
      </c>
      <c r="G5" s="18"/>
      <c r="H5" s="18"/>
      <c r="I5" s="19"/>
      <c r="J5" s="19"/>
      <c r="K5" s="19"/>
      <c r="L5" s="19"/>
      <c r="M5" s="19"/>
      <c r="N5" s="19"/>
      <c r="O5" s="19"/>
      <c r="P5" s="19"/>
      <c r="Q5" s="19"/>
      <c r="R5" s="19"/>
    </row>
    <row r="6" spans="2:18" ht="30" customHeight="1" x14ac:dyDescent="0.2">
      <c r="B6" s="13" t="s">
        <v>54</v>
      </c>
      <c r="C6" s="13" t="s">
        <v>117</v>
      </c>
      <c r="D6" s="16">
        <v>46127</v>
      </c>
      <c r="E6" s="16">
        <v>46140</v>
      </c>
      <c r="F6" s="17">
        <f>E6-D6+1</f>
        <v>14</v>
      </c>
      <c r="G6" s="19"/>
      <c r="H6" s="19"/>
      <c r="I6" s="18"/>
      <c r="J6" s="18"/>
      <c r="K6" s="19"/>
      <c r="L6" s="19"/>
      <c r="M6" s="19"/>
      <c r="N6" s="19"/>
      <c r="O6" s="19"/>
      <c r="P6" s="19"/>
      <c r="Q6" s="19"/>
      <c r="R6" s="19"/>
    </row>
    <row r="7" spans="2:18" ht="30" customHeight="1" x14ac:dyDescent="0.2">
      <c r="B7" s="13" t="s">
        <v>119</v>
      </c>
      <c r="C7" s="13" t="s">
        <v>117</v>
      </c>
      <c r="D7" s="16">
        <v>46141</v>
      </c>
      <c r="E7" s="16">
        <v>46154</v>
      </c>
      <c r="F7" s="17">
        <f>E7-D7+1</f>
        <v>14</v>
      </c>
      <c r="G7" s="19"/>
      <c r="H7" s="19"/>
      <c r="I7" s="19"/>
      <c r="J7" s="19"/>
      <c r="K7" s="18"/>
      <c r="L7" s="18"/>
      <c r="M7" s="19"/>
      <c r="N7" s="19"/>
      <c r="O7" s="19"/>
      <c r="P7" s="19"/>
      <c r="Q7" s="19"/>
      <c r="R7" s="19"/>
    </row>
    <row r="8" spans="2:18" ht="30" customHeight="1" x14ac:dyDescent="0.2">
      <c r="B8" s="13" t="s">
        <v>55</v>
      </c>
      <c r="C8" s="13" t="s">
        <v>117</v>
      </c>
      <c r="D8" s="16">
        <v>46155</v>
      </c>
      <c r="E8" s="16">
        <v>46164</v>
      </c>
      <c r="F8" s="17">
        <f>E8-D8+1</f>
        <v>10</v>
      </c>
      <c r="G8" s="19"/>
      <c r="H8" s="19"/>
      <c r="I8" s="19"/>
      <c r="J8" s="19"/>
      <c r="K8" s="19"/>
      <c r="L8" s="19"/>
      <c r="M8" s="18"/>
      <c r="N8" s="18"/>
      <c r="O8" s="19"/>
      <c r="P8" s="19"/>
      <c r="Q8" s="19"/>
      <c r="R8" s="19"/>
    </row>
    <row r="9" spans="2:18" ht="30" customHeight="1" x14ac:dyDescent="0.2">
      <c r="B9" s="20" t="s">
        <v>56</v>
      </c>
      <c r="C9" s="20" t="s">
        <v>57</v>
      </c>
      <c r="D9" s="21">
        <v>46167</v>
      </c>
      <c r="E9" s="21">
        <v>46192</v>
      </c>
      <c r="F9" s="22">
        <f>E9-D9+1</f>
        <v>26</v>
      </c>
      <c r="G9" s="19"/>
      <c r="H9" s="19"/>
      <c r="I9" s="19"/>
      <c r="J9" s="19"/>
      <c r="K9" s="19"/>
      <c r="L9" s="19"/>
      <c r="M9" s="19"/>
      <c r="N9" s="23"/>
      <c r="O9" s="23"/>
      <c r="P9" s="23"/>
      <c r="Q9" s="23"/>
      <c r="R9" s="23"/>
    </row>
    <row r="10" spans="2:18" ht="30" customHeight="1" x14ac:dyDescent="0.2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</row>
    <row r="11" spans="2:18" ht="30" customHeight="1" x14ac:dyDescent="0.2">
      <c r="B11" s="24" t="s">
        <v>58</v>
      </c>
      <c r="C11" s="9"/>
      <c r="D11" s="9"/>
      <c r="E11" s="9"/>
      <c r="F11" s="9"/>
      <c r="G11" s="11"/>
      <c r="H11" s="25" t="s">
        <v>59</v>
      </c>
      <c r="I11" s="11"/>
      <c r="J11" s="49"/>
      <c r="K11" s="11"/>
      <c r="L11" s="25" t="s">
        <v>60</v>
      </c>
      <c r="M11" s="11"/>
      <c r="N11" s="25" t="s">
        <v>61</v>
      </c>
      <c r="O11" s="11"/>
      <c r="P11" s="11"/>
      <c r="Q11" s="11"/>
      <c r="R11" s="11"/>
    </row>
  </sheetData>
  <mergeCells count="1">
    <mergeCell ref="B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"/>
  <sheetViews>
    <sheetView workbookViewId="0">
      <pane xSplit="1" ySplit="3" topLeftCell="B4" activePane="bottomRight" state="frozen"/>
      <selection pane="topRight"/>
      <selection pane="bottomLeft"/>
      <selection pane="bottomRight" activeCell="K16" sqref="K16"/>
    </sheetView>
  </sheetViews>
  <sheetFormatPr baseColWidth="10" defaultColWidth="8.83203125" defaultRowHeight="15" x14ac:dyDescent="0.2"/>
  <cols>
    <col min="1" max="1" width="17.1640625" customWidth="1"/>
    <col min="2" max="2" width="21.83203125" customWidth="1"/>
    <col min="3" max="3" width="49.33203125" customWidth="1"/>
    <col min="4" max="4" width="16.83203125" customWidth="1"/>
    <col min="5" max="5" width="20.6640625" customWidth="1"/>
    <col min="6" max="6" width="19.5" customWidth="1"/>
    <col min="7" max="7" width="24.6640625" customWidth="1"/>
    <col min="8" max="8" width="21.6640625" customWidth="1"/>
    <col min="9" max="9" width="14.6640625" customWidth="1"/>
  </cols>
  <sheetData>
    <row r="1" spans="1:10" ht="49" customHeight="1" x14ac:dyDescent="0.25">
      <c r="A1" s="50" t="s">
        <v>62</v>
      </c>
      <c r="B1" s="51"/>
      <c r="C1" s="51"/>
      <c r="D1" s="51"/>
      <c r="E1" s="51"/>
      <c r="F1" s="51"/>
      <c r="G1" s="51"/>
      <c r="H1" s="51"/>
      <c r="I1" s="51"/>
    </row>
    <row r="2" spans="1:10" x14ac:dyDescent="0.2">
      <c r="A2" s="2"/>
      <c r="B2" s="2"/>
      <c r="C2" s="2"/>
      <c r="D2" s="2"/>
      <c r="E2" s="2"/>
      <c r="F2" s="2"/>
      <c r="G2" s="2"/>
      <c r="H2" s="2"/>
      <c r="I2" s="2"/>
    </row>
    <row r="3" spans="1:10" ht="30" customHeight="1" x14ac:dyDescent="0.2">
      <c r="A3" s="43" t="s">
        <v>63</v>
      </c>
      <c r="B3" s="43" t="s">
        <v>64</v>
      </c>
      <c r="C3" s="43" t="s">
        <v>65</v>
      </c>
      <c r="D3" s="43" t="s">
        <v>26</v>
      </c>
      <c r="E3" s="43" t="s">
        <v>66</v>
      </c>
      <c r="F3" s="43" t="s">
        <v>67</v>
      </c>
      <c r="G3" s="43" t="s">
        <v>68</v>
      </c>
      <c r="H3" s="43" t="s">
        <v>69</v>
      </c>
      <c r="I3" s="43" t="s">
        <v>70</v>
      </c>
    </row>
    <row r="4" spans="1:10" ht="30" customHeight="1" x14ac:dyDescent="0.2">
      <c r="A4" s="27" t="s">
        <v>71</v>
      </c>
      <c r="B4" s="27" t="s">
        <v>72</v>
      </c>
      <c r="C4" s="27" t="s">
        <v>73</v>
      </c>
      <c r="D4" s="28" t="s">
        <v>74</v>
      </c>
      <c r="E4" s="29">
        <v>46113</v>
      </c>
      <c r="F4" s="29">
        <v>46114</v>
      </c>
      <c r="G4" s="28">
        <f t="shared" ref="G4:G21" si="0">F4-E4+1</f>
        <v>2</v>
      </c>
      <c r="H4" s="27"/>
      <c r="I4" s="27" t="s">
        <v>75</v>
      </c>
    </row>
    <row r="5" spans="1:10" ht="30" customHeight="1" x14ac:dyDescent="0.2">
      <c r="A5" s="30" t="s">
        <v>76</v>
      </c>
      <c r="B5" s="30" t="s">
        <v>77</v>
      </c>
      <c r="C5" s="30" t="s">
        <v>121</v>
      </c>
      <c r="D5" s="31" t="s">
        <v>57</v>
      </c>
      <c r="E5" s="32">
        <v>46113</v>
      </c>
      <c r="F5" s="32">
        <v>46119</v>
      </c>
      <c r="G5" s="31">
        <f t="shared" si="0"/>
        <v>7</v>
      </c>
      <c r="H5" s="30" t="s">
        <v>71</v>
      </c>
      <c r="I5" s="30" t="s">
        <v>75</v>
      </c>
    </row>
    <row r="6" spans="1:10" ht="30" customHeight="1" x14ac:dyDescent="0.2">
      <c r="A6" s="33" t="s">
        <v>78</v>
      </c>
      <c r="B6" s="33" t="s">
        <v>79</v>
      </c>
      <c r="C6" s="33" t="s">
        <v>80</v>
      </c>
      <c r="D6" s="34" t="s">
        <v>81</v>
      </c>
      <c r="E6" s="35">
        <v>46120</v>
      </c>
      <c r="F6" s="35">
        <v>46126</v>
      </c>
      <c r="G6" s="34">
        <f t="shared" si="0"/>
        <v>7</v>
      </c>
      <c r="H6" s="33" t="s">
        <v>76</v>
      </c>
      <c r="I6" s="33" t="s">
        <v>82</v>
      </c>
    </row>
    <row r="7" spans="1:10" ht="30" customHeight="1" x14ac:dyDescent="0.2">
      <c r="A7" s="36" t="s">
        <v>83</v>
      </c>
      <c r="B7" s="36" t="s">
        <v>84</v>
      </c>
      <c r="C7" s="36" t="s">
        <v>85</v>
      </c>
      <c r="D7" s="37" t="s">
        <v>86</v>
      </c>
      <c r="E7" s="38">
        <v>46125</v>
      </c>
      <c r="F7" s="38">
        <v>46126</v>
      </c>
      <c r="G7" s="37">
        <f t="shared" si="0"/>
        <v>2</v>
      </c>
      <c r="H7" s="36" t="s">
        <v>78</v>
      </c>
      <c r="I7" s="36" t="s">
        <v>82</v>
      </c>
    </row>
    <row r="8" spans="1:10" ht="30" customHeight="1" x14ac:dyDescent="0.2">
      <c r="A8" s="39" t="s">
        <v>87</v>
      </c>
      <c r="B8" s="39" t="s">
        <v>5</v>
      </c>
      <c r="C8" s="39" t="s">
        <v>88</v>
      </c>
      <c r="D8" s="25" t="s">
        <v>74</v>
      </c>
      <c r="E8" s="40">
        <v>46126</v>
      </c>
      <c r="F8" s="40">
        <v>46126</v>
      </c>
      <c r="G8" s="25">
        <f t="shared" si="0"/>
        <v>1</v>
      </c>
      <c r="H8" s="39" t="s">
        <v>83</v>
      </c>
      <c r="I8" s="39" t="s">
        <v>82</v>
      </c>
    </row>
    <row r="9" spans="1:10" ht="30" customHeight="1" x14ac:dyDescent="0.2">
      <c r="A9" s="30" t="s">
        <v>89</v>
      </c>
      <c r="B9" s="30" t="s">
        <v>77</v>
      </c>
      <c r="C9" s="30" t="s">
        <v>90</v>
      </c>
      <c r="D9" s="31" t="s">
        <v>57</v>
      </c>
      <c r="E9" s="32">
        <v>46127</v>
      </c>
      <c r="F9" s="32">
        <v>46130</v>
      </c>
      <c r="G9" s="31">
        <f t="shared" si="0"/>
        <v>4</v>
      </c>
      <c r="H9" s="30" t="s">
        <v>87</v>
      </c>
      <c r="I9" s="30" t="s">
        <v>82</v>
      </c>
    </row>
    <row r="10" spans="1:10" ht="30" customHeight="1" x14ac:dyDescent="0.2">
      <c r="A10" s="33" t="s">
        <v>91</v>
      </c>
      <c r="B10" s="33" t="s">
        <v>79</v>
      </c>
      <c r="C10" s="33" t="s">
        <v>92</v>
      </c>
      <c r="D10" s="34" t="s">
        <v>81</v>
      </c>
      <c r="E10" s="35">
        <v>46131</v>
      </c>
      <c r="F10" s="35">
        <v>46140</v>
      </c>
      <c r="G10" s="34">
        <f t="shared" si="0"/>
        <v>10</v>
      </c>
      <c r="H10" s="33" t="s">
        <v>89</v>
      </c>
      <c r="I10" s="33" t="s">
        <v>82</v>
      </c>
    </row>
    <row r="11" spans="1:10" ht="30" customHeight="1" x14ac:dyDescent="0.2">
      <c r="A11" s="36" t="s">
        <v>93</v>
      </c>
      <c r="B11" s="36" t="s">
        <v>84</v>
      </c>
      <c r="C11" s="36" t="s">
        <v>94</v>
      </c>
      <c r="D11" s="37" t="s">
        <v>86</v>
      </c>
      <c r="E11" s="38">
        <v>46139</v>
      </c>
      <c r="F11" s="38">
        <v>46140</v>
      </c>
      <c r="G11" s="37">
        <f t="shared" si="0"/>
        <v>2</v>
      </c>
      <c r="H11" s="36" t="s">
        <v>91</v>
      </c>
      <c r="I11" s="36" t="s">
        <v>82</v>
      </c>
    </row>
    <row r="12" spans="1:10" ht="30" customHeight="1" x14ac:dyDescent="0.2">
      <c r="A12" s="30" t="s">
        <v>96</v>
      </c>
      <c r="B12" s="30" t="s">
        <v>77</v>
      </c>
      <c r="C12" s="30" t="s">
        <v>97</v>
      </c>
      <c r="D12" s="31" t="s">
        <v>57</v>
      </c>
      <c r="E12" s="32">
        <v>46141</v>
      </c>
      <c r="F12" s="32">
        <v>46145</v>
      </c>
      <c r="G12" s="31">
        <f t="shared" si="0"/>
        <v>5</v>
      </c>
      <c r="H12" s="30" t="s">
        <v>95</v>
      </c>
      <c r="I12" s="30" t="s">
        <v>82</v>
      </c>
    </row>
    <row r="13" spans="1:10" ht="30" customHeight="1" x14ac:dyDescent="0.2">
      <c r="A13" s="45" t="s">
        <v>98</v>
      </c>
      <c r="B13" s="46" t="s">
        <v>79</v>
      </c>
      <c r="C13" s="45" t="s">
        <v>122</v>
      </c>
      <c r="D13" s="46" t="s">
        <v>81</v>
      </c>
      <c r="E13" s="47">
        <v>46142</v>
      </c>
      <c r="F13" s="47">
        <v>46149</v>
      </c>
      <c r="G13" s="48">
        <v>7</v>
      </c>
      <c r="H13" s="46" t="s">
        <v>91</v>
      </c>
      <c r="I13" s="46" t="s">
        <v>82</v>
      </c>
    </row>
    <row r="14" spans="1:10" ht="30" customHeight="1" x14ac:dyDescent="0.2">
      <c r="A14" s="36" t="s">
        <v>99</v>
      </c>
      <c r="B14" s="36" t="s">
        <v>84</v>
      </c>
      <c r="C14" s="36" t="s">
        <v>100</v>
      </c>
      <c r="D14" s="37" t="s">
        <v>86</v>
      </c>
      <c r="E14" s="38">
        <v>46150</v>
      </c>
      <c r="F14" s="38">
        <v>46154</v>
      </c>
      <c r="G14" s="37">
        <v>4</v>
      </c>
      <c r="H14" s="36" t="s">
        <v>98</v>
      </c>
      <c r="I14" s="36" t="s">
        <v>82</v>
      </c>
      <c r="J14" s="11"/>
    </row>
    <row r="15" spans="1:10" ht="30" customHeight="1" x14ac:dyDescent="0.2">
      <c r="A15" s="39" t="s">
        <v>95</v>
      </c>
      <c r="B15" s="39" t="s">
        <v>5</v>
      </c>
      <c r="C15" s="39" t="s">
        <v>102</v>
      </c>
      <c r="D15" s="25" t="s">
        <v>74</v>
      </c>
      <c r="E15" s="40">
        <v>46154</v>
      </c>
      <c r="F15" s="40">
        <v>46154</v>
      </c>
      <c r="G15" s="25">
        <f t="shared" si="0"/>
        <v>1</v>
      </c>
      <c r="H15" s="39" t="s">
        <v>99</v>
      </c>
      <c r="I15" s="39" t="s">
        <v>82</v>
      </c>
    </row>
    <row r="16" spans="1:10" ht="30" customHeight="1" x14ac:dyDescent="0.2">
      <c r="A16" s="30" t="s">
        <v>103</v>
      </c>
      <c r="B16" s="30" t="s">
        <v>77</v>
      </c>
      <c r="C16" s="30" t="s">
        <v>104</v>
      </c>
      <c r="D16" s="31" t="s">
        <v>57</v>
      </c>
      <c r="E16" s="32">
        <v>46155</v>
      </c>
      <c r="F16" s="32">
        <v>46160</v>
      </c>
      <c r="G16" s="31">
        <f t="shared" si="0"/>
        <v>6</v>
      </c>
      <c r="H16" s="30" t="s">
        <v>101</v>
      </c>
      <c r="I16" s="30" t="s">
        <v>82</v>
      </c>
    </row>
    <row r="17" spans="1:9" ht="30" customHeight="1" x14ac:dyDescent="0.2">
      <c r="A17" s="33" t="s">
        <v>105</v>
      </c>
      <c r="B17" s="33" t="s">
        <v>79</v>
      </c>
      <c r="C17" s="33" t="s">
        <v>106</v>
      </c>
      <c r="D17" s="34" t="s">
        <v>81</v>
      </c>
      <c r="E17" s="35">
        <v>46155</v>
      </c>
      <c r="F17" s="35">
        <v>46162</v>
      </c>
      <c r="G17" s="34">
        <f t="shared" si="0"/>
        <v>8</v>
      </c>
      <c r="H17" s="33" t="s">
        <v>101</v>
      </c>
      <c r="I17" s="33" t="s">
        <v>82</v>
      </c>
    </row>
    <row r="18" spans="1:9" ht="30" customHeight="1" x14ac:dyDescent="0.2">
      <c r="A18" s="36" t="s">
        <v>107</v>
      </c>
      <c r="B18" s="36" t="s">
        <v>84</v>
      </c>
      <c r="C18" s="36" t="s">
        <v>108</v>
      </c>
      <c r="D18" s="37" t="s">
        <v>86</v>
      </c>
      <c r="E18" s="38">
        <v>46161</v>
      </c>
      <c r="F18" s="38">
        <v>46162</v>
      </c>
      <c r="G18" s="37">
        <f t="shared" si="0"/>
        <v>2</v>
      </c>
      <c r="H18" s="36" t="s">
        <v>105</v>
      </c>
      <c r="I18" s="36" t="s">
        <v>82</v>
      </c>
    </row>
    <row r="19" spans="1:9" ht="30" customHeight="1" x14ac:dyDescent="0.2">
      <c r="A19" s="27" t="s">
        <v>109</v>
      </c>
      <c r="B19" s="27" t="s">
        <v>110</v>
      </c>
      <c r="C19" s="27" t="s">
        <v>111</v>
      </c>
      <c r="D19" s="28" t="s">
        <v>74</v>
      </c>
      <c r="E19" s="29">
        <v>46163</v>
      </c>
      <c r="F19" s="29">
        <v>46164</v>
      </c>
      <c r="G19" s="28">
        <f t="shared" si="0"/>
        <v>2</v>
      </c>
      <c r="H19" s="27" t="s">
        <v>107</v>
      </c>
      <c r="I19" s="27" t="s">
        <v>82</v>
      </c>
    </row>
    <row r="20" spans="1:9" ht="30" customHeight="1" x14ac:dyDescent="0.2">
      <c r="A20" s="39" t="s">
        <v>61</v>
      </c>
      <c r="B20" s="39" t="s">
        <v>5</v>
      </c>
      <c r="C20" s="39" t="s">
        <v>123</v>
      </c>
      <c r="D20" s="25" t="s">
        <v>57</v>
      </c>
      <c r="E20" s="40">
        <v>46167</v>
      </c>
      <c r="F20" s="40">
        <v>46192</v>
      </c>
      <c r="G20" s="25">
        <f t="shared" ref="G20" si="1">F20-E20+1</f>
        <v>26</v>
      </c>
      <c r="H20" s="39" t="s">
        <v>109</v>
      </c>
      <c r="I20" s="39" t="s">
        <v>82</v>
      </c>
    </row>
    <row r="21" spans="1:9" ht="30" customHeight="1" x14ac:dyDescent="0.2">
      <c r="A21" s="20" t="s">
        <v>112</v>
      </c>
      <c r="B21" s="20" t="s">
        <v>22</v>
      </c>
      <c r="C21" s="20" t="s">
        <v>113</v>
      </c>
      <c r="D21" s="22" t="s">
        <v>57</v>
      </c>
      <c r="E21" s="41">
        <v>46167</v>
      </c>
      <c r="F21" s="41">
        <v>46192</v>
      </c>
      <c r="G21" s="22">
        <f t="shared" si="0"/>
        <v>26</v>
      </c>
      <c r="H21" s="20" t="s">
        <v>109</v>
      </c>
      <c r="I21" s="20" t="s">
        <v>82</v>
      </c>
    </row>
    <row r="22" spans="1:9" x14ac:dyDescent="0.2">
      <c r="A22" s="2"/>
      <c r="B22" s="2"/>
      <c r="C22" s="2"/>
      <c r="D22" s="2"/>
      <c r="E22" s="2"/>
      <c r="F22" s="2"/>
      <c r="G22" s="2"/>
      <c r="H22" s="2"/>
      <c r="I22" s="2"/>
    </row>
  </sheetData>
  <mergeCells count="1">
    <mergeCell ref="A1:I1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Executive Gantt</vt:lpstr>
      <vt:lpstr>Delivery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chitrangi doshi</cp:lastModifiedBy>
  <dcterms:created xsi:type="dcterms:W3CDTF">2026-03-29T21:29:37Z</dcterms:created>
  <dcterms:modified xsi:type="dcterms:W3CDTF">2026-03-29T23:15:49Z</dcterms:modified>
</cp:coreProperties>
</file>