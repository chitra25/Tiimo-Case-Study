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/>
  <mc:AlternateContent xmlns:mc="http://schemas.openxmlformats.org/markup-compatibility/2006">
    <mc:Choice Requires="x15">
      <x15ac:absPath xmlns:x15ac="http://schemas.microsoft.com/office/spreadsheetml/2010/11/ac" url="/Users/chitrangidoshi/Documents/Buisness Analyst/Case Study/Tiimo/github repo/Tiimo-Case-Study/Requirements-Analysis/"/>
    </mc:Choice>
  </mc:AlternateContent>
  <xr:revisionPtr revIDLastSave="0" documentId="13_ncr:1_{B62FFA17-D11B-AE4A-BECA-4993BDC706C4}" xr6:coauthVersionLast="47" xr6:coauthVersionMax="47" xr10:uidLastSave="{00000000-0000-0000-0000-000000000000}"/>
  <bookViews>
    <workbookView xWindow="0" yWindow="0" windowWidth="28800" windowHeight="18000" xr2:uid="{00000000-000D-0000-FFFF-FFFF00000000}"/>
  </bookViews>
  <sheets>
    <sheet name="Requirements_Catalog" sheetId="2" r:id="rId1"/>
  </sheets>
  <definedNames>
    <definedName name="_xlnm._FilterDatabase" localSheetId="0" hidden="1">Requirements_Catalog!$A$13:$R$36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5" i="2" l="1"/>
  <c r="R25" i="2"/>
  <c r="R36" i="2"/>
  <c r="R27" i="2"/>
  <c r="R24" i="2"/>
  <c r="R26" i="2"/>
  <c r="R17" i="2"/>
  <c r="R33" i="2"/>
  <c r="R34" i="2"/>
  <c r="R14" i="2"/>
  <c r="R15" i="2"/>
  <c r="R21" i="2"/>
  <c r="R28" i="2"/>
  <c r="R32" i="2"/>
  <c r="R29" i="2"/>
  <c r="R31" i="2"/>
  <c r="R19" i="2"/>
  <c r="R22" i="2"/>
  <c r="R16" i="2"/>
  <c r="R18" i="2"/>
  <c r="R23" i="2"/>
  <c r="R20" i="2"/>
  <c r="R30" i="2"/>
</calcChain>
</file>

<file path=xl/sharedStrings.xml><?xml version="1.0" encoding="utf-8"?>
<sst xmlns="http://schemas.openxmlformats.org/spreadsheetml/2006/main" count="297" uniqueCount="187">
  <si>
    <t>REQUIREMENT</t>
  </si>
  <si>
    <t>ID</t>
  </si>
  <si>
    <t>Project ID</t>
  </si>
  <si>
    <t>Project Name</t>
  </si>
  <si>
    <t>PEOPLE</t>
  </si>
  <si>
    <t>Project Manager</t>
  </si>
  <si>
    <t>Date Initiated</t>
  </si>
  <si>
    <t>Date last updated</t>
  </si>
  <si>
    <t>RELATED</t>
  </si>
  <si>
    <t>STATUS</t>
  </si>
  <si>
    <t>Catalog Owner</t>
  </si>
  <si>
    <t>NAME</t>
  </si>
  <si>
    <t>DESC</t>
  </si>
  <si>
    <t>TYPE</t>
  </si>
  <si>
    <t>ACCEPTANCE CRITERIA</t>
  </si>
  <si>
    <t>OWNER</t>
  </si>
  <si>
    <t>AUTHOR</t>
  </si>
  <si>
    <t>STAKEHOLDERS</t>
  </si>
  <si>
    <t>DOCS</t>
  </si>
  <si>
    <t>VERSION</t>
  </si>
  <si>
    <t>RESOLUTION</t>
  </si>
  <si>
    <t>REQUIREMENTS</t>
  </si>
  <si>
    <t>TIIMO-001</t>
  </si>
  <si>
    <t>CHITRANGI</t>
  </si>
  <si>
    <t>ROUTINES MVP CHURN REDUCTION</t>
  </si>
  <si>
    <t>PRIORITY</t>
  </si>
  <si>
    <t>REACH</t>
  </si>
  <si>
    <t>IMPACT (1-10)</t>
  </si>
  <si>
    <t>CONFIDENCE (0-1)</t>
  </si>
  <si>
    <t>EFFORT</t>
  </si>
  <si>
    <t>RICE SCORE</t>
  </si>
  <si>
    <t>PRIORITIZATION &amp; METRICS</t>
  </si>
  <si>
    <t>BR-01</t>
  </si>
  <si>
    <t>Churn Reduction ARR</t>
  </si>
  <si>
    <t>Business</t>
  </si>
  <si>
    <t>Must</t>
  </si>
  <si>
    <t>Executive</t>
  </si>
  <si>
    <t>BA</t>
  </si>
  <si>
    <t>Proposed</t>
  </si>
  <si>
    <t>BR-02</t>
  </si>
  <si>
    <t>Adoption KPI</t>
  </si>
  <si>
    <t>Should</t>
  </si>
  <si>
    <t>Product Manager</t>
  </si>
  <si>
    <t>SR-01</t>
  </si>
  <si>
    <t>ADHD Timed Flow</t>
  </si>
  <si>
    <t>ADHD users need reusable routines w/ timed subtasks for time-blind flow</t>
  </si>
  <si>
    <t>Stakeholder</t>
  </si>
  <si>
    <t>FR-01 FR-02</t>
  </si>
  <si>
    <t>SR-02</t>
  </si>
  <si>
    <t>Product needs Routines MVP delivered in 4 sprints</t>
  </si>
  <si>
    <t>Product</t>
  </si>
  <si>
    <t>FR-01 to FR-07</t>
  </si>
  <si>
    <t>Approved</t>
  </si>
  <si>
    <t>SR-03</t>
  </si>
  <si>
    <t>Design Lead</t>
  </si>
  <si>
    <t>NFR-01 NFR-03</t>
  </si>
  <si>
    <t>SR-04</t>
  </si>
  <si>
    <t>Dev Timer Refactor</t>
  </si>
  <si>
    <t>Dev Lead</t>
  </si>
  <si>
    <t>FR-02 NFR-02</t>
  </si>
  <si>
    <t>SR-05</t>
  </si>
  <si>
    <t>Design Tradeoffs</t>
  </si>
  <si>
    <t>Design needs 5-subtask max simplified flows</t>
  </si>
  <si>
    <t>FR-01</t>
  </si>
  <si>
    <t>SR-06</t>
  </si>
  <si>
    <t>Product Roadmap</t>
  </si>
  <si>
    <t>SR-07</t>
  </si>
  <si>
    <t>Exec Budget</t>
  </si>
  <si>
    <t>Execs need Q1 $50k budget for MVP</t>
  </si>
  <si>
    <t>SR-08</t>
  </si>
  <si>
    <t>Analytics Alignment</t>
  </si>
  <si>
    <t>Analytics needs 85% VOC-internal churn match</t>
  </si>
  <si>
    <t>Routine Creation</t>
  </si>
  <si>
    <t>Users create routine w/ 5+ subtasks durations</t>
  </si>
  <si>
    <t>Functional</t>
  </si>
  <si>
    <t>FR-02</t>
  </si>
  <si>
    <t>Visual Timer</t>
  </si>
  <si>
    <t>Visual countdown per subtask auto-advance</t>
  </si>
  <si>
    <t>SR-01 NFR-02</t>
  </si>
  <si>
    <t>FR-03</t>
  </si>
  <si>
    <t>Save Deploy Library</t>
  </si>
  <si>
    <t>Save routine library one-tap deploy to day</t>
  </si>
  <si>
    <t>FR-04</t>
  </si>
  <si>
    <t>BPMN To-Be</t>
  </si>
  <si>
    <t>Server Expansion</t>
  </si>
  <si>
    <t>FR-03 FR-06</t>
  </si>
  <si>
    <t>FR-05</t>
  </si>
  <si>
    <t>Calendar Sync</t>
  </si>
  <si>
    <t>Bi-directional sync routines to external calendars</t>
  </si>
  <si>
    <t>FR-07</t>
  </si>
  <si>
    <t>VOC calendar complaints</t>
  </si>
  <si>
    <t>FR-06</t>
  </si>
  <si>
    <t>Conflict Check</t>
  </si>
  <si>
    <t>Check overlaps conflicts before routine deploy</t>
  </si>
  <si>
    <t>Could</t>
  </si>
  <si>
    <t>NFR-01</t>
  </si>
  <si>
    <t>Non-Functional</t>
  </si>
  <si>
    <t>NFR-02</t>
  </si>
  <si>
    <t>99% Crash-Free</t>
  </si>
  <si>
    <t>99% reliability no crashes during expansion timer</t>
  </si>
  <si>
    <t>FR-04 FR-06</t>
  </si>
  <si>
    <t>VOC crash cluster</t>
  </si>
  <si>
    <t>NFR-03</t>
  </si>
  <si>
    <t>WCAG AA Accessible</t>
  </si>
  <si>
    <t>Kano Delight</t>
  </si>
  <si>
    <t>TR-01</t>
  </si>
  <si>
    <t>Transition</t>
  </si>
  <si>
    <t>TR-02</t>
  </si>
  <si>
    <t>Onboarding Video</t>
  </si>
  <si>
    <t>3-min video tutorial for routine setup flow</t>
  </si>
  <si>
    <t>Design SR-03</t>
  </si>
  <si>
    <t>Adoption &gt;70, Rating &gt;4.5, ARR scenario met</t>
  </si>
  <si>
    <t>Routines usage 70%, App rating uplift 0.5 pts</t>
  </si>
  <si>
    <t>Nightly batch 14 days, Deltas to clients</t>
  </si>
  <si>
    <t>Import conflicts resolve, Retain imports</t>
  </si>
  <si>
    <t>Sprint 1: Core create, Sprint 4: Calendar deploy</t>
  </si>
  <si>
    <t>Simplified nav, AI suggest routines</t>
  </si>
  <si>
    <t>Reuse existing timer, No new crashes</t>
  </si>
  <si>
    <t>Max 5 subtasks, Visual hierarchy</t>
  </si>
  <si>
    <t>Post-AI roadmap slot, ARR threshold met</t>
  </si>
  <si>
    <t>Add 5 subtasks w/durations, Save validate</t>
  </si>
  <si>
    <t>Bulk insert safe, Progress indicator</t>
  </si>
  <si>
    <t>Visual warnings, Auto-resolve simple</t>
  </si>
  <si>
    <t>OOM &lt;1%, Repeat stable</t>
  </si>
  <si>
    <t>AA compliant, Time-blind friendly</t>
  </si>
  <si>
    <t>ADHD-friendly paced, 80% completion rate</t>
  </si>
  <si>
    <t>Assumptions-Limitations-Log : ROI scenarios</t>
  </si>
  <si>
    <t>Elicitation Results Log</t>
  </si>
  <si>
    <t>Visual countdown per subtask, Timer Auto-advance, 80% routine completion rate</t>
  </si>
  <si>
    <t>Design needs neuroinclusive UX integration without clutter</t>
  </si>
  <si>
    <t>Design Lead, Design Team, Neurodivergent Users, Product Managers</t>
  </si>
  <si>
    <t>Development Lead, Development Team, QA/ Testing Team, Product Managers</t>
  </si>
  <si>
    <t>Product Managers, Executive Management, Development Lead, Design Lead</t>
  </si>
  <si>
    <t>Data Analytics Team, Product Managers, Executive Management</t>
  </si>
  <si>
    <t>Neurodivergent Users, Regular Users, Product Managers, Development Lead, Development Team, Design Lead, Design Team, QA/ Testing Team, Support Team</t>
  </si>
  <si>
    <t>Neurodivergent Users, Product Managers, Development Lead, Development Team, Design Lead, Design Team, QA/ Testing Team, Support Team</t>
  </si>
  <si>
    <t>Development Lead, Development Team, QA/ Testing Team, Product Managers, Data Analytics Team, Apple App Store Team</t>
  </si>
  <si>
    <t>Neurodivergent Users, Product Managers, Development Lead, Development Team, QA/ Testing Team, Support Team</t>
  </si>
  <si>
    <t>Neurodivergent Users, Regular Users, Product Managers, Development Lead, Development Team, Support Team</t>
  </si>
  <si>
    <t>Neurodivergent Users, Product Managers, Development Lead, Development Team, QA/ Testing Team, Support Team, Review Platforms</t>
  </si>
  <si>
    <t>Neurodivergent Users, Product Managers, Design Lead, Design Team, QA/ Testing Team, Apple App Store Team</t>
  </si>
  <si>
    <t>Neurodivergent Users, Regular Users, Product Managers, Design Lead, Design Team, Support Team, Influencers, Review Platforms</t>
  </si>
  <si>
    <t>Neurodivergent Users</t>
  </si>
  <si>
    <t>Development Lead</t>
  </si>
  <si>
    <t>Executive Management</t>
  </si>
  <si>
    <t>Data Analytics Team</t>
  </si>
  <si>
    <t>Product Managers, Executive Management</t>
  </si>
  <si>
    <t>Achieve 70% Routines adoption, rating &gt;4.5 post-MVP</t>
  </si>
  <si>
    <t>Product Managers, Data Analytics Team</t>
  </si>
  <si>
    <t>Neurodivergent Users, Product Managers, Development Lead, Design Lead, QA/ Testing Team</t>
  </si>
  <si>
    <t>MVP Delivery</t>
  </si>
  <si>
    <t>Product Managers, Development Lead, Development Team, Design Lead, Design Team, QA/ Testing Team</t>
  </si>
  <si>
    <t>NeuroInclusive Design Integration</t>
  </si>
  <si>
    <t>Wireframes files</t>
  </si>
  <si>
    <t>Tech spike file</t>
  </si>
  <si>
    <t>Persona updates file</t>
  </si>
  <si>
    <t>Roadmap matrix file</t>
  </si>
  <si>
    <t>Dev, Design, QA, resources, Phase 2 approved</t>
  </si>
  <si>
    <t>Executive Management, Product Managers</t>
  </si>
  <si>
    <t>Budget approval file</t>
  </si>
  <si>
    <t>Cohort data vs VOC 22%</t>
  </si>
  <si>
    <t>Churn correlation file</t>
  </si>
  <si>
    <t>BPMN file</t>
  </si>
  <si>
    <t>Timer shows remaining time left in suubtakss, 80% completion rate</t>
  </si>
  <si>
    <t>Library persistent, Deploy server deltas</t>
  </si>
  <si>
    <t>Server-side repeat expansion for routines without client crashes</t>
  </si>
  <si>
    <t>Batch Add Routine Tasks</t>
  </si>
  <si>
    <t>Batch add routine tasks without crash during repeats</t>
  </si>
  <si>
    <t>Neurodivergent Users, Regular Users, Product Managers, Development Lead, Development Team, Design Lead, Design Team, Q/A / Testing Team</t>
  </si>
  <si>
    <t>Routine Creation Time</t>
  </si>
  <si>
    <t>Complete routine (5 subtasks) creation in less than 2min end-to-end.</t>
  </si>
  <si>
    <t>Routine (5 subtasks) creation less than 2min average, less than 3min in 95th percetile during benchmark testing</t>
  </si>
  <si>
    <t>Neurodivergent Users, Regular Users, Product Managers, Development Lead, Development Team, QA/ Testing Team</t>
  </si>
  <si>
    <t>Screen Load Performance</t>
  </si>
  <si>
    <t>Screens load in less than 2s (95th percentile).</t>
  </si>
  <si>
    <t>Routine screens load in less than 2s in 95th percentile, no timeouts.</t>
  </si>
  <si>
    <t>ROUTINES MVP - TIIMO IPHONE CHURN REDUCTION : REQUIREMENTS CATALOG</t>
  </si>
  <si>
    <t>NFR-04</t>
  </si>
  <si>
    <t>Timers colors high-contrast neuroinclusive, WCAG AA compliant</t>
  </si>
  <si>
    <t>Dev Lead, Q/A Testing Team</t>
  </si>
  <si>
    <t>Neurodivergent Users, Regular Users, Product Managers, Development Lead, Development Team, QA Testing Team, Support Team</t>
  </si>
  <si>
    <t>Routines User FAQ</t>
  </si>
  <si>
    <t>Publish FAQ explaining Routines vs Plans + common issues.</t>
  </si>
  <si>
    <t>faq's in the app and website, train support team</t>
  </si>
  <si>
    <t>Dev needs reusable timer engine for 4 sprint feasibility</t>
  </si>
  <si>
    <t>Reduce iPhone churn 13.5% via Routines MVP</t>
  </si>
  <si>
    <t>Product needs Routines fit post-AI,  $105k ROI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</si>
</sst>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8" x14ac:knownFonts="1">
    <font>
      <sz val="11"/>
      <color theme="1"/>
      <name val="Aptos narrow"/>
      <scheme val="minor"/>
    </font>
    <font>
      <sz val="11"/>
      <color theme="1"/>
      <name val="Times New Roman"/>
      <family val="1"/>
    </font>
    <font>
      <b/>
      <sz val="18"/>
      <color theme="1"/>
      <name val="Times New Roman"/>
      <family val="1"/>
    </font>
    <font>
      <b/>
      <sz val="12"/>
      <color rgb="FF000000"/>
      <name val="Times New Roman"/>
      <family val="1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b/>
      <sz val="14"/>
      <color theme="1"/>
      <name val="Times New Roman"/>
      <family val="1"/>
    </font>
    <font>
      <sz val="14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D2AFFF"/>
        <bgColor rgb="FFBFBFBF"/>
      </patternFill>
    </fill>
    <fill>
      <patternFill patternType="solid">
        <fgColor rgb="FFD2AFFF"/>
        <bgColor indexed="64"/>
      </patternFill>
    </fill>
  </fills>
  <borders count="18">
    <border>
      <left/>
      <right/>
      <top/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double">
        <color rgb="FF000000"/>
      </right>
      <top style="medium">
        <color rgb="FF000000"/>
      </top>
      <bottom style="medium">
        <color rgb="FF000000"/>
      </bottom>
      <diagonal/>
    </border>
    <border>
      <left/>
      <right style="double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double">
        <color rgb="FF000000"/>
      </right>
      <top/>
      <bottom style="medium">
        <color rgb="FF000000"/>
      </bottom>
      <diagonal/>
    </border>
    <border>
      <left/>
      <right style="double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 style="medium">
        <color theme="1"/>
      </bottom>
      <diagonal/>
    </border>
    <border>
      <left/>
      <right style="medium">
        <color rgb="FF000000"/>
      </right>
      <top style="medium">
        <color rgb="FF000000"/>
      </top>
      <bottom style="medium">
        <color theme="1"/>
      </bottom>
      <diagonal/>
    </border>
    <border>
      <left style="medium">
        <color rgb="FF000000"/>
      </left>
      <right/>
      <top style="medium">
        <color rgb="FF000000"/>
      </top>
      <bottom style="medium">
        <color theme="1"/>
      </bottom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rgb="FF000000"/>
      </right>
      <top style="medium">
        <color rgb="FF000000"/>
      </top>
      <bottom style="medium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vertical="center"/>
    </xf>
    <xf numFmtId="0" fontId="3" fillId="3" borderId="4" xfId="0" applyFont="1" applyFill="1" applyBorder="1" applyAlignment="1">
      <alignment vertical="center" wrapText="1"/>
    </xf>
    <xf numFmtId="0" fontId="3" fillId="3" borderId="5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vertical="center" wrapText="1"/>
    </xf>
    <xf numFmtId="0" fontId="4" fillId="0" borderId="6" xfId="0" applyFont="1" applyBorder="1" applyAlignment="1">
      <alignment vertical="center" wrapText="1"/>
    </xf>
    <xf numFmtId="0" fontId="4" fillId="0" borderId="7" xfId="0" applyFont="1" applyBorder="1" applyAlignment="1">
      <alignment vertical="center" wrapText="1"/>
    </xf>
    <xf numFmtId="0" fontId="5" fillId="0" borderId="6" xfId="0" applyFont="1" applyBorder="1" applyAlignment="1">
      <alignment vertical="center" wrapText="1"/>
    </xf>
    <xf numFmtId="0" fontId="5" fillId="0" borderId="7" xfId="0" applyFont="1" applyBorder="1" applyAlignment="1">
      <alignment vertical="center" wrapText="1"/>
    </xf>
    <xf numFmtId="0" fontId="5" fillId="0" borderId="3" xfId="0" applyFont="1" applyBorder="1" applyAlignment="1">
      <alignment vertical="center" wrapText="1"/>
    </xf>
    <xf numFmtId="0" fontId="4" fillId="0" borderId="0" xfId="0" applyFont="1" applyAlignment="1">
      <alignment vertical="center" wrapText="1"/>
    </xf>
    <xf numFmtId="0" fontId="4" fillId="0" borderId="0" xfId="0" applyFont="1" applyAlignment="1">
      <alignment horizontal="left" vertical="center"/>
    </xf>
    <xf numFmtId="0" fontId="6" fillId="4" borderId="3" xfId="0" applyFont="1" applyFill="1" applyBorder="1" applyAlignment="1">
      <alignment vertical="center" wrapText="1"/>
    </xf>
    <xf numFmtId="14" fontId="4" fillId="0" borderId="3" xfId="0" applyNumberFormat="1" applyFont="1" applyBorder="1" applyAlignment="1">
      <alignment vertical="center" wrapText="1"/>
    </xf>
    <xf numFmtId="0" fontId="6" fillId="4" borderId="10" xfId="0" applyFont="1" applyFill="1" applyBorder="1" applyAlignment="1">
      <alignment vertical="center" wrapText="1"/>
    </xf>
    <xf numFmtId="0" fontId="4" fillId="0" borderId="10" xfId="0" applyFont="1" applyBorder="1" applyAlignment="1">
      <alignment wrapText="1"/>
    </xf>
    <xf numFmtId="0" fontId="6" fillId="4" borderId="2" xfId="0" applyFont="1" applyFill="1" applyBorder="1" applyAlignment="1">
      <alignment vertical="center" wrapText="1"/>
    </xf>
    <xf numFmtId="164" fontId="4" fillId="0" borderId="3" xfId="0" applyNumberFormat="1" applyFont="1" applyBorder="1" applyAlignment="1">
      <alignment vertical="center" wrapText="1"/>
    </xf>
    <xf numFmtId="0" fontId="6" fillId="2" borderId="15" xfId="0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0" fontId="6" fillId="2" borderId="17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left" vertical="center"/>
    </xf>
    <xf numFmtId="0" fontId="1" fillId="0" borderId="0" xfId="0" applyFont="1" applyAlignment="1">
      <alignment horizontal="left"/>
    </xf>
    <xf numFmtId="0" fontId="6" fillId="2" borderId="9" xfId="0" applyFont="1" applyFill="1" applyBorder="1" applyAlignment="1">
      <alignment horizontal="center" vertical="center" wrapText="1"/>
    </xf>
    <xf numFmtId="0" fontId="7" fillId="0" borderId="8" xfId="0" applyFont="1" applyBorder="1" applyAlignment="1">
      <alignment wrapText="1"/>
    </xf>
    <xf numFmtId="0" fontId="6" fillId="2" borderId="14" xfId="0" applyFont="1" applyFill="1" applyBorder="1" applyAlignment="1">
      <alignment horizontal="center" vertical="center" wrapText="1"/>
    </xf>
    <xf numFmtId="0" fontId="6" fillId="2" borderId="12" xfId="0" applyFont="1" applyFill="1" applyBorder="1" applyAlignment="1">
      <alignment horizontal="center" vertical="center" wrapText="1"/>
    </xf>
    <xf numFmtId="0" fontId="6" fillId="2" borderId="13" xfId="0" applyFont="1" applyFill="1" applyBorder="1" applyAlignment="1">
      <alignment horizontal="center" vertical="center" wrapText="1"/>
    </xf>
    <xf numFmtId="0" fontId="7" fillId="0" borderId="11" xfId="0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D2A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3"/>
  <sheetViews>
    <sheetView tabSelected="1" zoomScale="90" zoomScaleNormal="90" workbookViewId="0">
      <selection activeCell="C19" sqref="C19"/>
    </sheetView>
  </sheetViews>
  <sheetFormatPr baseColWidth="10" defaultColWidth="12.6640625" defaultRowHeight="15" customHeight="1" x14ac:dyDescent="0.15"/>
  <cols>
    <col min="1" max="2" width="30.83203125" style="1" customWidth="1"/>
    <col min="3" max="3" width="47" style="1" customWidth="1"/>
    <col min="4" max="5" width="30.83203125" style="1" customWidth="1"/>
    <col min="6" max="6" width="50.1640625" style="1" customWidth="1"/>
    <col min="7" max="8" width="30.83203125" style="1" customWidth="1"/>
    <col min="9" max="9" width="61.6640625" style="1" customWidth="1"/>
    <col min="10" max="18" width="30.83203125" style="1" customWidth="1"/>
    <col min="19" max="22" width="47.83203125" style="1" customWidth="1"/>
    <col min="23" max="16384" width="12.6640625" style="1"/>
  </cols>
  <sheetData>
    <row r="1" spans="1:18" ht="14.25" customHeight="1" x14ac:dyDescent="0.15"/>
    <row r="2" spans="1:18" ht="35.25" customHeight="1" x14ac:dyDescent="0.15">
      <c r="A2" s="22" t="s">
        <v>176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</row>
    <row r="3" spans="1:18" ht="14.25" customHeight="1" thickBot="1" x14ac:dyDescent="0.2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4" spans="1:18" ht="50" customHeight="1" thickBot="1" x14ac:dyDescent="0.2">
      <c r="B4" s="3" t="s">
        <v>2</v>
      </c>
      <c r="C4" s="4" t="s">
        <v>5</v>
      </c>
      <c r="D4" s="5" t="s">
        <v>6</v>
      </c>
    </row>
    <row r="5" spans="1:18" ht="30" customHeight="1" thickBot="1" x14ac:dyDescent="0.2">
      <c r="B5" s="6" t="s">
        <v>22</v>
      </c>
      <c r="C5" s="7" t="s">
        <v>23</v>
      </c>
      <c r="D5" s="14">
        <v>46037</v>
      </c>
    </row>
    <row r="6" spans="1:18" ht="50" customHeight="1" thickBot="1" x14ac:dyDescent="0.2">
      <c r="B6" s="8" t="s">
        <v>3</v>
      </c>
      <c r="C6" s="9" t="s">
        <v>10</v>
      </c>
      <c r="D6" s="10" t="s">
        <v>7</v>
      </c>
    </row>
    <row r="7" spans="1:18" ht="30" customHeight="1" thickBot="1" x14ac:dyDescent="0.2">
      <c r="B7" s="6" t="s">
        <v>24</v>
      </c>
      <c r="C7" s="7" t="s">
        <v>23</v>
      </c>
      <c r="D7" s="14">
        <v>46094</v>
      </c>
    </row>
    <row r="8" spans="1:18" ht="30" customHeight="1" x14ac:dyDescent="0.15">
      <c r="B8" s="11"/>
      <c r="C8" s="11"/>
      <c r="D8" s="11"/>
    </row>
    <row r="9" spans="1:18" ht="30" customHeight="1" x14ac:dyDescent="0.15">
      <c r="B9" s="11"/>
      <c r="C9" s="11"/>
      <c r="D9" s="11"/>
    </row>
    <row r="10" spans="1:18" ht="30" customHeight="1" x14ac:dyDescent="0.15">
      <c r="B10" s="11"/>
      <c r="C10" s="11"/>
      <c r="D10" s="11"/>
    </row>
    <row r="11" spans="1:18" ht="30" customHeight="1" thickBot="1" x14ac:dyDescent="0.2">
      <c r="A11" s="12"/>
    </row>
    <row r="12" spans="1:18" ht="50" customHeight="1" thickBot="1" x14ac:dyDescent="0.25">
      <c r="A12" s="24" t="s">
        <v>0</v>
      </c>
      <c r="B12" s="25"/>
      <c r="C12" s="25"/>
      <c r="D12" s="25"/>
      <c r="E12" s="25"/>
      <c r="F12" s="25"/>
      <c r="G12" s="26" t="s">
        <v>4</v>
      </c>
      <c r="H12" s="27"/>
      <c r="I12" s="28"/>
      <c r="J12" s="24" t="s">
        <v>8</v>
      </c>
      <c r="K12" s="29"/>
      <c r="L12" s="24" t="s">
        <v>9</v>
      </c>
      <c r="M12" s="29"/>
      <c r="N12" s="19" t="s">
        <v>31</v>
      </c>
      <c r="O12" s="20"/>
      <c r="P12" s="20"/>
      <c r="Q12" s="20"/>
      <c r="R12" s="21"/>
    </row>
    <row r="13" spans="1:18" ht="50" customHeight="1" thickBot="1" x14ac:dyDescent="0.2">
      <c r="A13" s="15" t="s">
        <v>1</v>
      </c>
      <c r="B13" s="15" t="s">
        <v>11</v>
      </c>
      <c r="C13" s="15" t="s">
        <v>12</v>
      </c>
      <c r="D13" s="15" t="s">
        <v>13</v>
      </c>
      <c r="E13" s="15" t="s">
        <v>25</v>
      </c>
      <c r="F13" s="15" t="s">
        <v>14</v>
      </c>
      <c r="G13" s="15" t="s">
        <v>15</v>
      </c>
      <c r="H13" s="15" t="s">
        <v>16</v>
      </c>
      <c r="I13" s="15" t="s">
        <v>17</v>
      </c>
      <c r="J13" s="15" t="s">
        <v>21</v>
      </c>
      <c r="K13" s="15" t="s">
        <v>18</v>
      </c>
      <c r="L13" s="15" t="s">
        <v>20</v>
      </c>
      <c r="M13" s="15" t="s">
        <v>19</v>
      </c>
      <c r="N13" s="13" t="s">
        <v>26</v>
      </c>
      <c r="O13" s="13" t="s">
        <v>27</v>
      </c>
      <c r="P13" s="13" t="s">
        <v>28</v>
      </c>
      <c r="Q13" s="13" t="s">
        <v>29</v>
      </c>
      <c r="R13" s="17" t="s">
        <v>30</v>
      </c>
    </row>
    <row r="14" spans="1:18" ht="50" customHeight="1" thickBot="1" x14ac:dyDescent="0.25">
      <c r="A14" s="16" t="s">
        <v>63</v>
      </c>
      <c r="B14" s="16" t="s">
        <v>72</v>
      </c>
      <c r="C14" s="16" t="s">
        <v>73</v>
      </c>
      <c r="D14" s="16" t="s">
        <v>74</v>
      </c>
      <c r="E14" s="16" t="s">
        <v>41</v>
      </c>
      <c r="F14" s="16" t="s">
        <v>120</v>
      </c>
      <c r="G14" s="16" t="s">
        <v>50</v>
      </c>
      <c r="H14" s="16" t="s">
        <v>37</v>
      </c>
      <c r="I14" s="16" t="s">
        <v>134</v>
      </c>
      <c r="J14" s="16" t="s">
        <v>43</v>
      </c>
      <c r="K14" s="16" t="s">
        <v>162</v>
      </c>
      <c r="L14" s="16" t="s">
        <v>38</v>
      </c>
      <c r="M14" s="16">
        <v>1</v>
      </c>
      <c r="N14" s="18">
        <v>10</v>
      </c>
      <c r="O14" s="18">
        <v>10</v>
      </c>
      <c r="P14" s="18">
        <v>0.9</v>
      </c>
      <c r="Q14" s="18">
        <v>1.5</v>
      </c>
      <c r="R14" s="18">
        <f t="shared" ref="R14:R36" si="0">(N14*O14*P14)/Q14</f>
        <v>60</v>
      </c>
    </row>
    <row r="15" spans="1:18" ht="50" customHeight="1" thickBot="1" x14ac:dyDescent="0.25">
      <c r="A15" s="16" t="s">
        <v>75</v>
      </c>
      <c r="B15" s="16" t="s">
        <v>76</v>
      </c>
      <c r="C15" s="16" t="s">
        <v>77</v>
      </c>
      <c r="D15" s="16" t="s">
        <v>74</v>
      </c>
      <c r="E15" s="16" t="s">
        <v>35</v>
      </c>
      <c r="F15" s="16" t="s">
        <v>163</v>
      </c>
      <c r="G15" s="16" t="s">
        <v>58</v>
      </c>
      <c r="H15" s="16" t="s">
        <v>37</v>
      </c>
      <c r="I15" s="16" t="s">
        <v>135</v>
      </c>
      <c r="J15" s="16" t="s">
        <v>78</v>
      </c>
      <c r="K15" s="16"/>
      <c r="L15" s="16" t="s">
        <v>38</v>
      </c>
      <c r="M15" s="16">
        <v>1</v>
      </c>
      <c r="N15" s="18">
        <v>10</v>
      </c>
      <c r="O15" s="18">
        <v>10</v>
      </c>
      <c r="P15" s="18">
        <v>0.9</v>
      </c>
      <c r="Q15" s="18">
        <v>1.5</v>
      </c>
      <c r="R15" s="18">
        <f t="shared" si="0"/>
        <v>60</v>
      </c>
    </row>
    <row r="16" spans="1:18" ht="50" customHeight="1" thickBot="1" x14ac:dyDescent="0.25">
      <c r="A16" s="16" t="s">
        <v>102</v>
      </c>
      <c r="B16" s="16" t="s">
        <v>98</v>
      </c>
      <c r="C16" s="16" t="s">
        <v>99</v>
      </c>
      <c r="D16" s="16" t="s">
        <v>96</v>
      </c>
      <c r="E16" s="16" t="s">
        <v>35</v>
      </c>
      <c r="F16" s="16" t="s">
        <v>123</v>
      </c>
      <c r="G16" s="16" t="s">
        <v>179</v>
      </c>
      <c r="H16" s="16" t="s">
        <v>37</v>
      </c>
      <c r="I16" s="16" t="s">
        <v>139</v>
      </c>
      <c r="J16" s="16" t="s">
        <v>100</v>
      </c>
      <c r="K16" s="16" t="s">
        <v>101</v>
      </c>
      <c r="L16" s="16" t="s">
        <v>38</v>
      </c>
      <c r="M16" s="16">
        <v>1</v>
      </c>
      <c r="N16" s="18">
        <v>10</v>
      </c>
      <c r="O16" s="18">
        <v>10</v>
      </c>
      <c r="P16" s="18">
        <v>0.9</v>
      </c>
      <c r="Q16" s="18">
        <v>1.5</v>
      </c>
      <c r="R16" s="18">
        <f t="shared" si="0"/>
        <v>60</v>
      </c>
    </row>
    <row r="17" spans="1:18" ht="50" customHeight="1" thickBot="1" x14ac:dyDescent="0.25">
      <c r="A17" s="16" t="s">
        <v>64</v>
      </c>
      <c r="B17" s="16" t="s">
        <v>65</v>
      </c>
      <c r="C17" s="16" t="s">
        <v>186</v>
      </c>
      <c r="D17" s="16" t="s">
        <v>46</v>
      </c>
      <c r="E17" s="16" t="s">
        <v>35</v>
      </c>
      <c r="F17" s="16" t="s">
        <v>119</v>
      </c>
      <c r="G17" s="16" t="s">
        <v>42</v>
      </c>
      <c r="H17" s="16" t="s">
        <v>42</v>
      </c>
      <c r="I17" s="16" t="s">
        <v>132</v>
      </c>
      <c r="J17" s="16"/>
      <c r="K17" s="16" t="s">
        <v>156</v>
      </c>
      <c r="L17" s="16" t="s">
        <v>52</v>
      </c>
      <c r="M17" s="16">
        <v>1</v>
      </c>
      <c r="N17" s="18">
        <v>9</v>
      </c>
      <c r="O17" s="18">
        <v>8</v>
      </c>
      <c r="P17" s="18">
        <v>0.8</v>
      </c>
      <c r="Q17" s="18">
        <v>1</v>
      </c>
      <c r="R17" s="18">
        <f t="shared" si="0"/>
        <v>57.6</v>
      </c>
    </row>
    <row r="18" spans="1:18" ht="50" customHeight="1" thickBot="1" x14ac:dyDescent="0.25">
      <c r="A18" s="16" t="s">
        <v>177</v>
      </c>
      <c r="B18" s="16" t="s">
        <v>103</v>
      </c>
      <c r="C18" s="16" t="s">
        <v>178</v>
      </c>
      <c r="D18" s="16" t="s">
        <v>96</v>
      </c>
      <c r="E18" s="16" t="s">
        <v>41</v>
      </c>
      <c r="F18" s="16" t="s">
        <v>124</v>
      </c>
      <c r="G18" s="16" t="s">
        <v>54</v>
      </c>
      <c r="H18" s="16" t="s">
        <v>37</v>
      </c>
      <c r="I18" s="16" t="s">
        <v>140</v>
      </c>
      <c r="J18" s="16" t="s">
        <v>75</v>
      </c>
      <c r="K18" s="16" t="s">
        <v>104</v>
      </c>
      <c r="L18" s="16" t="s">
        <v>38</v>
      </c>
      <c r="M18" s="16">
        <v>1</v>
      </c>
      <c r="N18" s="18">
        <v>9</v>
      </c>
      <c r="O18" s="18">
        <v>8</v>
      </c>
      <c r="P18" s="18">
        <v>0.8</v>
      </c>
      <c r="Q18" s="18">
        <v>1</v>
      </c>
      <c r="R18" s="18">
        <f t="shared" si="0"/>
        <v>57.6</v>
      </c>
    </row>
    <row r="19" spans="1:18" ht="50" customHeight="1" thickBot="1" x14ac:dyDescent="0.25">
      <c r="A19" s="16" t="s">
        <v>95</v>
      </c>
      <c r="B19" s="16" t="s">
        <v>169</v>
      </c>
      <c r="C19" s="16" t="s">
        <v>170</v>
      </c>
      <c r="D19" s="16" t="s">
        <v>96</v>
      </c>
      <c r="E19" s="16" t="s">
        <v>35</v>
      </c>
      <c r="F19" s="16" t="s">
        <v>171</v>
      </c>
      <c r="G19" s="16" t="s">
        <v>58</v>
      </c>
      <c r="H19" s="16" t="s">
        <v>37</v>
      </c>
      <c r="I19" s="16" t="s">
        <v>172</v>
      </c>
      <c r="J19" s="16" t="s">
        <v>63</v>
      </c>
      <c r="K19" s="16" t="s">
        <v>83</v>
      </c>
      <c r="L19" s="16" t="s">
        <v>38</v>
      </c>
      <c r="M19" s="16">
        <v>1</v>
      </c>
      <c r="N19" s="18">
        <v>10</v>
      </c>
      <c r="O19" s="18">
        <v>9</v>
      </c>
      <c r="P19" s="18">
        <v>0.9</v>
      </c>
      <c r="Q19" s="18">
        <v>1.5</v>
      </c>
      <c r="R19" s="18">
        <f t="shared" si="0"/>
        <v>54</v>
      </c>
    </row>
    <row r="20" spans="1:18" ht="50" customHeight="1" thickBot="1" x14ac:dyDescent="0.25">
      <c r="A20" s="16" t="s">
        <v>107</v>
      </c>
      <c r="B20" s="16" t="s">
        <v>108</v>
      </c>
      <c r="C20" s="16" t="s">
        <v>109</v>
      </c>
      <c r="D20" s="16" t="s">
        <v>106</v>
      </c>
      <c r="E20" s="16" t="s">
        <v>35</v>
      </c>
      <c r="F20" s="16" t="s">
        <v>125</v>
      </c>
      <c r="G20" s="16" t="s">
        <v>54</v>
      </c>
      <c r="H20" s="16" t="s">
        <v>37</v>
      </c>
      <c r="I20" s="16" t="s">
        <v>141</v>
      </c>
      <c r="J20" s="16"/>
      <c r="K20" s="16" t="s">
        <v>110</v>
      </c>
      <c r="L20" s="16" t="s">
        <v>38</v>
      </c>
      <c r="M20" s="16">
        <v>1</v>
      </c>
      <c r="N20" s="18">
        <v>8</v>
      </c>
      <c r="O20" s="18">
        <v>8</v>
      </c>
      <c r="P20" s="18">
        <v>0.8</v>
      </c>
      <c r="Q20" s="18">
        <v>1</v>
      </c>
      <c r="R20" s="18">
        <f t="shared" si="0"/>
        <v>51.2</v>
      </c>
    </row>
    <row r="21" spans="1:18" ht="50" customHeight="1" thickBot="1" x14ac:dyDescent="0.25">
      <c r="A21" s="16" t="s">
        <v>79</v>
      </c>
      <c r="B21" s="16" t="s">
        <v>80</v>
      </c>
      <c r="C21" s="16" t="s">
        <v>81</v>
      </c>
      <c r="D21" s="16" t="s">
        <v>74</v>
      </c>
      <c r="E21" s="16" t="s">
        <v>35</v>
      </c>
      <c r="F21" s="16" t="s">
        <v>164</v>
      </c>
      <c r="G21" s="16" t="s">
        <v>58</v>
      </c>
      <c r="H21" s="16" t="s">
        <v>37</v>
      </c>
      <c r="I21" s="16" t="s">
        <v>138</v>
      </c>
      <c r="J21" s="16" t="s">
        <v>82</v>
      </c>
      <c r="K21" s="16" t="s">
        <v>83</v>
      </c>
      <c r="L21" s="16" t="s">
        <v>38</v>
      </c>
      <c r="M21" s="16">
        <v>1</v>
      </c>
      <c r="N21" s="18">
        <v>9</v>
      </c>
      <c r="O21" s="18">
        <v>9</v>
      </c>
      <c r="P21" s="18">
        <v>0.9</v>
      </c>
      <c r="Q21" s="18">
        <v>1.5</v>
      </c>
      <c r="R21" s="18">
        <f t="shared" si="0"/>
        <v>48.6</v>
      </c>
    </row>
    <row r="22" spans="1:18" ht="50" customHeight="1" thickBot="1" x14ac:dyDescent="0.25">
      <c r="A22" s="16" t="s">
        <v>97</v>
      </c>
      <c r="B22" s="16" t="s">
        <v>173</v>
      </c>
      <c r="C22" s="16" t="s">
        <v>174</v>
      </c>
      <c r="D22" s="16" t="s">
        <v>96</v>
      </c>
      <c r="E22" s="16" t="s">
        <v>35</v>
      </c>
      <c r="F22" s="16" t="s">
        <v>175</v>
      </c>
      <c r="G22" s="16" t="s">
        <v>58</v>
      </c>
      <c r="H22" s="16" t="s">
        <v>37</v>
      </c>
      <c r="I22" s="16" t="s">
        <v>172</v>
      </c>
      <c r="J22" s="16" t="s">
        <v>63</v>
      </c>
      <c r="K22" s="16" t="s">
        <v>83</v>
      </c>
      <c r="L22" s="16" t="s">
        <v>38</v>
      </c>
      <c r="M22" s="16">
        <v>1</v>
      </c>
      <c r="N22" s="18">
        <v>10</v>
      </c>
      <c r="O22" s="18">
        <v>9</v>
      </c>
      <c r="P22" s="18">
        <v>0.8</v>
      </c>
      <c r="Q22" s="18">
        <v>1.5</v>
      </c>
      <c r="R22" s="18">
        <f t="shared" si="0"/>
        <v>48</v>
      </c>
    </row>
    <row r="23" spans="1:18" ht="50" customHeight="1" thickBot="1" x14ac:dyDescent="0.25">
      <c r="A23" s="16" t="s">
        <v>105</v>
      </c>
      <c r="B23" s="16" t="s">
        <v>181</v>
      </c>
      <c r="C23" s="16" t="s">
        <v>182</v>
      </c>
      <c r="D23" s="16" t="s">
        <v>106</v>
      </c>
      <c r="E23" s="16" t="s">
        <v>94</v>
      </c>
      <c r="F23" s="16" t="s">
        <v>183</v>
      </c>
      <c r="G23" s="16" t="s">
        <v>58</v>
      </c>
      <c r="H23" s="16" t="s">
        <v>37</v>
      </c>
      <c r="I23" s="16" t="s">
        <v>138</v>
      </c>
      <c r="J23" s="16"/>
      <c r="K23" s="16"/>
      <c r="L23" s="16" t="s">
        <v>38</v>
      </c>
      <c r="M23" s="16">
        <v>1</v>
      </c>
      <c r="N23" s="18">
        <v>5</v>
      </c>
      <c r="O23" s="18">
        <v>6</v>
      </c>
      <c r="P23" s="18">
        <v>0.7</v>
      </c>
      <c r="Q23" s="18">
        <v>0.5</v>
      </c>
      <c r="R23" s="18">
        <f t="shared" si="0"/>
        <v>42</v>
      </c>
    </row>
    <row r="24" spans="1:18" ht="50" customHeight="1" thickBot="1" x14ac:dyDescent="0.25">
      <c r="A24" s="16" t="s">
        <v>56</v>
      </c>
      <c r="B24" s="16" t="s">
        <v>57</v>
      </c>
      <c r="C24" s="16" t="s">
        <v>184</v>
      </c>
      <c r="D24" s="16" t="s">
        <v>46</v>
      </c>
      <c r="E24" s="16" t="s">
        <v>35</v>
      </c>
      <c r="F24" s="16" t="s">
        <v>117</v>
      </c>
      <c r="G24" s="16" t="s">
        <v>58</v>
      </c>
      <c r="H24" s="16" t="s">
        <v>143</v>
      </c>
      <c r="I24" s="16" t="s">
        <v>131</v>
      </c>
      <c r="J24" s="16" t="s">
        <v>59</v>
      </c>
      <c r="K24" s="16" t="s">
        <v>154</v>
      </c>
      <c r="L24" s="16" t="s">
        <v>38</v>
      </c>
      <c r="M24" s="16">
        <v>1</v>
      </c>
      <c r="N24" s="18">
        <v>8</v>
      </c>
      <c r="O24" s="18">
        <v>9</v>
      </c>
      <c r="P24" s="18">
        <v>0.8</v>
      </c>
      <c r="Q24" s="18">
        <v>1.5</v>
      </c>
      <c r="R24" s="18">
        <f t="shared" si="0"/>
        <v>38.4</v>
      </c>
    </row>
    <row r="25" spans="1:18" ht="50" customHeight="1" thickBot="1" x14ac:dyDescent="0.25">
      <c r="A25" s="16" t="s">
        <v>43</v>
      </c>
      <c r="B25" s="16" t="s">
        <v>44</v>
      </c>
      <c r="C25" s="16" t="s">
        <v>45</v>
      </c>
      <c r="D25" s="16" t="s">
        <v>46</v>
      </c>
      <c r="E25" s="16" t="s">
        <v>35</v>
      </c>
      <c r="F25" s="16" t="s">
        <v>128</v>
      </c>
      <c r="G25" s="16" t="s">
        <v>42</v>
      </c>
      <c r="H25" s="16" t="s">
        <v>142</v>
      </c>
      <c r="I25" s="16" t="s">
        <v>149</v>
      </c>
      <c r="J25" s="16" t="s">
        <v>47</v>
      </c>
      <c r="K25" s="16"/>
      <c r="L25" s="16" t="s">
        <v>38</v>
      </c>
      <c r="M25" s="16">
        <v>1</v>
      </c>
      <c r="N25" s="18">
        <v>10</v>
      </c>
      <c r="O25" s="18">
        <v>10</v>
      </c>
      <c r="P25" s="18">
        <v>0.9</v>
      </c>
      <c r="Q25" s="18">
        <v>2.5</v>
      </c>
      <c r="R25" s="18">
        <f t="shared" si="0"/>
        <v>36</v>
      </c>
    </row>
    <row r="26" spans="1:18" ht="50" customHeight="1" thickBot="1" x14ac:dyDescent="0.25">
      <c r="A26" s="16" t="s">
        <v>60</v>
      </c>
      <c r="B26" s="16" t="s">
        <v>61</v>
      </c>
      <c r="C26" s="16" t="s">
        <v>62</v>
      </c>
      <c r="D26" s="16" t="s">
        <v>46</v>
      </c>
      <c r="E26" s="16" t="s">
        <v>41</v>
      </c>
      <c r="F26" s="16" t="s">
        <v>118</v>
      </c>
      <c r="G26" s="16" t="s">
        <v>54</v>
      </c>
      <c r="H26" s="16" t="s">
        <v>54</v>
      </c>
      <c r="I26" s="16" t="s">
        <v>130</v>
      </c>
      <c r="J26" s="16" t="s">
        <v>63</v>
      </c>
      <c r="K26" s="16" t="s">
        <v>155</v>
      </c>
      <c r="L26" s="16" t="s">
        <v>38</v>
      </c>
      <c r="M26" s="16">
        <v>1</v>
      </c>
      <c r="N26" s="18">
        <v>7</v>
      </c>
      <c r="O26" s="18">
        <v>7</v>
      </c>
      <c r="P26" s="18">
        <v>0.7</v>
      </c>
      <c r="Q26" s="18">
        <v>1</v>
      </c>
      <c r="R26" s="18">
        <f t="shared" si="0"/>
        <v>34.299999999999997</v>
      </c>
    </row>
    <row r="27" spans="1:18" ht="50" customHeight="1" thickBot="1" x14ac:dyDescent="0.25">
      <c r="A27" s="16" t="s">
        <v>53</v>
      </c>
      <c r="B27" s="16" t="s">
        <v>152</v>
      </c>
      <c r="C27" s="16" t="s">
        <v>129</v>
      </c>
      <c r="D27" s="16" t="s">
        <v>46</v>
      </c>
      <c r="E27" s="16" t="s">
        <v>35</v>
      </c>
      <c r="F27" s="16" t="s">
        <v>116</v>
      </c>
      <c r="G27" s="16" t="s">
        <v>54</v>
      </c>
      <c r="H27" s="16" t="s">
        <v>54</v>
      </c>
      <c r="I27" s="16" t="s">
        <v>130</v>
      </c>
      <c r="J27" s="16" t="s">
        <v>55</v>
      </c>
      <c r="K27" s="16" t="s">
        <v>153</v>
      </c>
      <c r="L27" s="16" t="s">
        <v>38</v>
      </c>
      <c r="M27" s="16">
        <v>1</v>
      </c>
      <c r="N27" s="18">
        <v>9</v>
      </c>
      <c r="O27" s="18">
        <v>9</v>
      </c>
      <c r="P27" s="18">
        <v>0.8</v>
      </c>
      <c r="Q27" s="18">
        <v>2</v>
      </c>
      <c r="R27" s="18">
        <f t="shared" si="0"/>
        <v>32.4</v>
      </c>
    </row>
    <row r="28" spans="1:18" ht="50" customHeight="1" thickBot="1" x14ac:dyDescent="0.25">
      <c r="A28" s="16" t="s">
        <v>82</v>
      </c>
      <c r="B28" s="16" t="s">
        <v>84</v>
      </c>
      <c r="C28" s="16" t="s">
        <v>165</v>
      </c>
      <c r="D28" s="16" t="s">
        <v>74</v>
      </c>
      <c r="E28" s="16" t="s">
        <v>35</v>
      </c>
      <c r="F28" s="16" t="s">
        <v>113</v>
      </c>
      <c r="G28" s="16" t="s">
        <v>58</v>
      </c>
      <c r="H28" s="16" t="s">
        <v>37</v>
      </c>
      <c r="I28" s="16" t="s">
        <v>136</v>
      </c>
      <c r="J28" s="16" t="s">
        <v>85</v>
      </c>
      <c r="K28" s="16" t="s">
        <v>83</v>
      </c>
      <c r="L28" s="16" t="s">
        <v>38</v>
      </c>
      <c r="M28" s="16">
        <v>1</v>
      </c>
      <c r="N28" s="18">
        <v>9</v>
      </c>
      <c r="O28" s="18">
        <v>9</v>
      </c>
      <c r="P28" s="18">
        <v>0.8</v>
      </c>
      <c r="Q28" s="18">
        <v>2</v>
      </c>
      <c r="R28" s="18">
        <f t="shared" si="0"/>
        <v>32.4</v>
      </c>
    </row>
    <row r="29" spans="1:18" ht="50" customHeight="1" thickBot="1" x14ac:dyDescent="0.25">
      <c r="A29" s="16" t="s">
        <v>91</v>
      </c>
      <c r="B29" s="16" t="s">
        <v>166</v>
      </c>
      <c r="C29" s="16" t="s">
        <v>167</v>
      </c>
      <c r="D29" s="16" t="s">
        <v>74</v>
      </c>
      <c r="E29" s="16" t="s">
        <v>41</v>
      </c>
      <c r="F29" s="16" t="s">
        <v>121</v>
      </c>
      <c r="G29" s="16" t="s">
        <v>58</v>
      </c>
      <c r="H29" s="16" t="s">
        <v>37</v>
      </c>
      <c r="I29" s="16" t="s">
        <v>137</v>
      </c>
      <c r="J29" s="16" t="s">
        <v>82</v>
      </c>
      <c r="K29" s="16"/>
      <c r="L29" s="16" t="s">
        <v>38</v>
      </c>
      <c r="M29" s="16">
        <v>1</v>
      </c>
      <c r="N29" s="18">
        <v>9</v>
      </c>
      <c r="O29" s="18">
        <v>9</v>
      </c>
      <c r="P29" s="18">
        <v>0.75</v>
      </c>
      <c r="Q29" s="18">
        <v>2</v>
      </c>
      <c r="R29" s="18">
        <f t="shared" si="0"/>
        <v>30.375</v>
      </c>
    </row>
    <row r="30" spans="1:18" ht="50" customHeight="1" thickBot="1" x14ac:dyDescent="0.25">
      <c r="A30" s="16" t="s">
        <v>32</v>
      </c>
      <c r="B30" s="16" t="s">
        <v>33</v>
      </c>
      <c r="C30" s="16" t="s">
        <v>185</v>
      </c>
      <c r="D30" s="16" t="s">
        <v>34</v>
      </c>
      <c r="E30" s="16" t="s">
        <v>35</v>
      </c>
      <c r="F30" s="16" t="s">
        <v>111</v>
      </c>
      <c r="G30" s="16" t="s">
        <v>36</v>
      </c>
      <c r="H30" s="16" t="s">
        <v>42</v>
      </c>
      <c r="I30" s="16" t="s">
        <v>146</v>
      </c>
      <c r="J30" s="16"/>
      <c r="K30" s="16" t="s">
        <v>126</v>
      </c>
      <c r="L30" s="16" t="s">
        <v>52</v>
      </c>
      <c r="M30" s="16">
        <v>1</v>
      </c>
      <c r="N30" s="18">
        <v>10</v>
      </c>
      <c r="O30" s="18">
        <v>10</v>
      </c>
      <c r="P30" s="18">
        <v>0.9</v>
      </c>
      <c r="Q30" s="18">
        <v>3</v>
      </c>
      <c r="R30" s="18">
        <f t="shared" si="0"/>
        <v>30</v>
      </c>
    </row>
    <row r="31" spans="1:18" ht="50" customHeight="1" thickBot="1" x14ac:dyDescent="0.25">
      <c r="A31" s="16" t="s">
        <v>89</v>
      </c>
      <c r="B31" s="16" t="s">
        <v>92</v>
      </c>
      <c r="C31" s="16" t="s">
        <v>93</v>
      </c>
      <c r="D31" s="16" t="s">
        <v>74</v>
      </c>
      <c r="E31" s="16" t="s">
        <v>94</v>
      </c>
      <c r="F31" s="16" t="s">
        <v>122</v>
      </c>
      <c r="G31" s="16" t="s">
        <v>58</v>
      </c>
      <c r="H31" s="16" t="s">
        <v>37</v>
      </c>
      <c r="I31" s="16" t="s">
        <v>168</v>
      </c>
      <c r="J31" s="16" t="s">
        <v>86</v>
      </c>
      <c r="K31" s="16"/>
      <c r="L31" s="16" t="s">
        <v>38</v>
      </c>
      <c r="M31" s="16">
        <v>1</v>
      </c>
      <c r="N31" s="18">
        <v>7</v>
      </c>
      <c r="O31" s="18">
        <v>6</v>
      </c>
      <c r="P31" s="18">
        <v>0.7</v>
      </c>
      <c r="Q31" s="18">
        <v>1</v>
      </c>
      <c r="R31" s="18">
        <f t="shared" si="0"/>
        <v>29.4</v>
      </c>
    </row>
    <row r="32" spans="1:18" ht="50" customHeight="1" thickBot="1" x14ac:dyDescent="0.25">
      <c r="A32" s="16" t="s">
        <v>86</v>
      </c>
      <c r="B32" s="16" t="s">
        <v>87</v>
      </c>
      <c r="C32" s="16" t="s">
        <v>88</v>
      </c>
      <c r="D32" s="16" t="s">
        <v>74</v>
      </c>
      <c r="E32" s="16" t="s">
        <v>41</v>
      </c>
      <c r="F32" s="16" t="s">
        <v>114</v>
      </c>
      <c r="G32" s="16" t="s">
        <v>58</v>
      </c>
      <c r="H32" s="16" t="s">
        <v>37</v>
      </c>
      <c r="I32" s="16" t="s">
        <v>180</v>
      </c>
      <c r="J32" s="16" t="s">
        <v>89</v>
      </c>
      <c r="K32" s="16" t="s">
        <v>90</v>
      </c>
      <c r="L32" s="16" t="s">
        <v>38</v>
      </c>
      <c r="M32" s="16">
        <v>1</v>
      </c>
      <c r="N32" s="18">
        <v>9</v>
      </c>
      <c r="O32" s="18">
        <v>8</v>
      </c>
      <c r="P32" s="18">
        <v>0.8</v>
      </c>
      <c r="Q32" s="18">
        <v>2</v>
      </c>
      <c r="R32" s="18">
        <f t="shared" si="0"/>
        <v>28.8</v>
      </c>
    </row>
    <row r="33" spans="1:18" ht="50" customHeight="1" thickBot="1" x14ac:dyDescent="0.25">
      <c r="A33" s="16" t="s">
        <v>66</v>
      </c>
      <c r="B33" s="16" t="s">
        <v>67</v>
      </c>
      <c r="C33" s="16" t="s">
        <v>68</v>
      </c>
      <c r="D33" s="16" t="s">
        <v>46</v>
      </c>
      <c r="E33" s="16" t="s">
        <v>41</v>
      </c>
      <c r="F33" s="16" t="s">
        <v>157</v>
      </c>
      <c r="G33" s="16" t="s">
        <v>144</v>
      </c>
      <c r="H33" s="16" t="s">
        <v>144</v>
      </c>
      <c r="I33" s="16" t="s">
        <v>158</v>
      </c>
      <c r="J33" s="16"/>
      <c r="K33" s="16" t="s">
        <v>159</v>
      </c>
      <c r="L33" s="16" t="s">
        <v>38</v>
      </c>
      <c r="M33" s="16">
        <v>1</v>
      </c>
      <c r="N33" s="18">
        <v>6</v>
      </c>
      <c r="O33" s="18">
        <v>8</v>
      </c>
      <c r="P33" s="18">
        <v>0.7</v>
      </c>
      <c r="Q33" s="18">
        <v>1.5</v>
      </c>
      <c r="R33" s="18">
        <f t="shared" si="0"/>
        <v>22.399999999999995</v>
      </c>
    </row>
    <row r="34" spans="1:18" ht="50" customHeight="1" thickBot="1" x14ac:dyDescent="0.25">
      <c r="A34" s="16" t="s">
        <v>69</v>
      </c>
      <c r="B34" s="16" t="s">
        <v>70</v>
      </c>
      <c r="C34" s="16" t="s">
        <v>71</v>
      </c>
      <c r="D34" s="16" t="s">
        <v>46</v>
      </c>
      <c r="E34" s="16" t="s">
        <v>41</v>
      </c>
      <c r="F34" s="16" t="s">
        <v>160</v>
      </c>
      <c r="G34" s="16" t="s">
        <v>145</v>
      </c>
      <c r="H34" s="16" t="s">
        <v>145</v>
      </c>
      <c r="I34" s="16" t="s">
        <v>133</v>
      </c>
      <c r="J34" s="16"/>
      <c r="K34" s="16" t="s">
        <v>161</v>
      </c>
      <c r="L34" s="16" t="s">
        <v>38</v>
      </c>
      <c r="M34" s="16">
        <v>1</v>
      </c>
      <c r="N34" s="18">
        <v>7</v>
      </c>
      <c r="O34" s="18">
        <v>9</v>
      </c>
      <c r="P34" s="18">
        <v>0.7</v>
      </c>
      <c r="Q34" s="18">
        <v>2</v>
      </c>
      <c r="R34" s="18">
        <f t="shared" si="0"/>
        <v>22.049999999999997</v>
      </c>
    </row>
    <row r="35" spans="1:18" ht="50" customHeight="1" thickBot="1" x14ac:dyDescent="0.25">
      <c r="A35" s="16" t="s">
        <v>39</v>
      </c>
      <c r="B35" s="16" t="s">
        <v>40</v>
      </c>
      <c r="C35" s="16" t="s">
        <v>147</v>
      </c>
      <c r="D35" s="16" t="s">
        <v>34</v>
      </c>
      <c r="E35" s="16" t="s">
        <v>35</v>
      </c>
      <c r="F35" s="16" t="s">
        <v>112</v>
      </c>
      <c r="G35" s="16" t="s">
        <v>42</v>
      </c>
      <c r="H35" s="16" t="s">
        <v>42</v>
      </c>
      <c r="I35" s="16" t="s">
        <v>148</v>
      </c>
      <c r="J35" s="16"/>
      <c r="K35" s="16" t="s">
        <v>127</v>
      </c>
      <c r="L35" s="16" t="s">
        <v>38</v>
      </c>
      <c r="M35" s="16">
        <v>1</v>
      </c>
      <c r="N35" s="18">
        <v>10</v>
      </c>
      <c r="O35" s="18">
        <v>10</v>
      </c>
      <c r="P35" s="18">
        <v>0.8</v>
      </c>
      <c r="Q35" s="18">
        <v>4</v>
      </c>
      <c r="R35" s="18">
        <f t="shared" si="0"/>
        <v>20</v>
      </c>
    </row>
    <row r="36" spans="1:18" ht="50" customHeight="1" thickBot="1" x14ac:dyDescent="0.25">
      <c r="A36" s="16" t="s">
        <v>48</v>
      </c>
      <c r="B36" s="16" t="s">
        <v>150</v>
      </c>
      <c r="C36" s="16" t="s">
        <v>49</v>
      </c>
      <c r="D36" s="16" t="s">
        <v>46</v>
      </c>
      <c r="E36" s="16" t="s">
        <v>41</v>
      </c>
      <c r="F36" s="16" t="s">
        <v>115</v>
      </c>
      <c r="G36" s="16" t="s">
        <v>42</v>
      </c>
      <c r="H36" s="16" t="s">
        <v>42</v>
      </c>
      <c r="I36" s="16" t="s">
        <v>151</v>
      </c>
      <c r="J36" s="16" t="s">
        <v>51</v>
      </c>
      <c r="K36" s="16"/>
      <c r="L36" s="16" t="s">
        <v>38</v>
      </c>
      <c r="M36" s="16">
        <v>1</v>
      </c>
      <c r="N36" s="18">
        <v>8</v>
      </c>
      <c r="O36" s="18">
        <v>9</v>
      </c>
      <c r="P36" s="18">
        <v>0.8</v>
      </c>
      <c r="Q36" s="18">
        <v>4</v>
      </c>
      <c r="R36" s="18">
        <f t="shared" si="0"/>
        <v>14.4</v>
      </c>
    </row>
    <row r="37" spans="1:18" ht="14.25" customHeight="1" x14ac:dyDescent="0.15"/>
    <row r="38" spans="1:18" ht="14.25" customHeight="1" x14ac:dyDescent="0.15"/>
    <row r="39" spans="1:18" ht="14.25" customHeight="1" x14ac:dyDescent="0.15"/>
    <row r="40" spans="1:18" ht="14.25" customHeight="1" x14ac:dyDescent="0.15"/>
    <row r="41" spans="1:18" ht="14.25" customHeight="1" x14ac:dyDescent="0.15"/>
    <row r="42" spans="1:18" ht="14.25" customHeight="1" x14ac:dyDescent="0.15"/>
    <row r="43" spans="1:18" ht="14.25" customHeight="1" x14ac:dyDescent="0.15"/>
    <row r="44" spans="1:18" ht="14.25" customHeight="1" x14ac:dyDescent="0.15"/>
    <row r="45" spans="1:18" ht="14.25" customHeight="1" x14ac:dyDescent="0.15"/>
    <row r="46" spans="1:18" ht="14.25" customHeight="1" x14ac:dyDescent="0.15"/>
    <row r="47" spans="1:18" ht="14.25" customHeight="1" x14ac:dyDescent="0.15"/>
    <row r="48" spans="1:18" ht="14.25" customHeight="1" x14ac:dyDescent="0.15"/>
    <row r="49" ht="14.25" customHeight="1" x14ac:dyDescent="0.15"/>
    <row r="50" ht="14.25" customHeight="1" x14ac:dyDescent="0.15"/>
    <row r="51" ht="14.25" customHeight="1" x14ac:dyDescent="0.15"/>
    <row r="52" ht="14.25" customHeight="1" x14ac:dyDescent="0.15"/>
    <row r="53" ht="14.25" customHeight="1" x14ac:dyDescent="0.15"/>
    <row r="54" ht="14.25" customHeight="1" x14ac:dyDescent="0.15"/>
    <row r="55" ht="14.25" customHeight="1" x14ac:dyDescent="0.15"/>
    <row r="56" ht="14.25" customHeight="1" x14ac:dyDescent="0.15"/>
    <row r="57" ht="14.25" customHeight="1" x14ac:dyDescent="0.15"/>
    <row r="58" ht="14.25" customHeight="1" x14ac:dyDescent="0.15"/>
    <row r="59" ht="14.25" customHeight="1" x14ac:dyDescent="0.15"/>
    <row r="60" ht="14.25" customHeight="1" x14ac:dyDescent="0.15"/>
    <row r="61" ht="14.25" customHeight="1" x14ac:dyDescent="0.15"/>
    <row r="62" ht="14.25" customHeight="1" x14ac:dyDescent="0.15"/>
    <row r="63" ht="14.25" customHeight="1" x14ac:dyDescent="0.15"/>
    <row r="64" ht="14.25" customHeight="1" x14ac:dyDescent="0.15"/>
    <row r="65" ht="14.25" customHeight="1" x14ac:dyDescent="0.15"/>
    <row r="66" ht="14.25" customHeight="1" x14ac:dyDescent="0.15"/>
    <row r="67" ht="14.25" customHeight="1" x14ac:dyDescent="0.15"/>
    <row r="68" ht="14.25" customHeight="1" x14ac:dyDescent="0.15"/>
    <row r="69" ht="14.25" customHeight="1" x14ac:dyDescent="0.15"/>
    <row r="70" ht="14.25" customHeight="1" x14ac:dyDescent="0.15"/>
    <row r="71" ht="14.25" customHeight="1" x14ac:dyDescent="0.15"/>
    <row r="72" ht="14.25" customHeight="1" x14ac:dyDescent="0.15"/>
    <row r="73" ht="14.25" customHeight="1" x14ac:dyDescent="0.15"/>
    <row r="74" ht="14.25" customHeight="1" x14ac:dyDescent="0.15"/>
    <row r="75" ht="14.25" customHeight="1" x14ac:dyDescent="0.15"/>
    <row r="76" ht="14.25" customHeight="1" x14ac:dyDescent="0.15"/>
    <row r="77" ht="14.25" customHeight="1" x14ac:dyDescent="0.15"/>
    <row r="78" ht="14.25" customHeight="1" x14ac:dyDescent="0.15"/>
    <row r="79" ht="14.25" customHeight="1" x14ac:dyDescent="0.15"/>
    <row r="80" ht="14.25" customHeight="1" x14ac:dyDescent="0.15"/>
    <row r="81" ht="14.25" customHeight="1" x14ac:dyDescent="0.15"/>
    <row r="82" ht="14.25" customHeight="1" x14ac:dyDescent="0.15"/>
    <row r="83" ht="14.25" customHeight="1" x14ac:dyDescent="0.15"/>
    <row r="84" ht="14.25" customHeight="1" x14ac:dyDescent="0.15"/>
    <row r="85" ht="14.25" customHeight="1" x14ac:dyDescent="0.15"/>
    <row r="86" ht="14.25" customHeight="1" x14ac:dyDescent="0.15"/>
    <row r="87" ht="14.25" customHeight="1" x14ac:dyDescent="0.15"/>
    <row r="88" ht="14.25" customHeight="1" x14ac:dyDescent="0.15"/>
    <row r="89" ht="14.25" customHeight="1" x14ac:dyDescent="0.15"/>
    <row r="90" ht="14.25" customHeight="1" x14ac:dyDescent="0.15"/>
    <row r="91" ht="14.25" customHeight="1" x14ac:dyDescent="0.15"/>
    <row r="92" ht="14.25" customHeight="1" x14ac:dyDescent="0.15"/>
    <row r="93" ht="14.25" customHeight="1" x14ac:dyDescent="0.15"/>
    <row r="94" ht="14.25" customHeight="1" x14ac:dyDescent="0.15"/>
    <row r="95" ht="14.25" customHeight="1" x14ac:dyDescent="0.15"/>
    <row r="96" ht="14.25" customHeight="1" x14ac:dyDescent="0.15"/>
    <row r="97" ht="14.25" customHeight="1" x14ac:dyDescent="0.15"/>
    <row r="98" ht="14.25" customHeight="1" x14ac:dyDescent="0.15"/>
    <row r="99" ht="14.25" customHeight="1" x14ac:dyDescent="0.15"/>
    <row r="100" ht="14.25" customHeight="1" x14ac:dyDescent="0.15"/>
    <row r="101" ht="14.25" customHeight="1" x14ac:dyDescent="0.15"/>
    <row r="102" ht="14.25" customHeight="1" x14ac:dyDescent="0.15"/>
    <row r="103" ht="14.25" customHeight="1" x14ac:dyDescent="0.15"/>
    <row r="104" ht="14.25" customHeight="1" x14ac:dyDescent="0.15"/>
    <row r="105" ht="14.25" customHeight="1" x14ac:dyDescent="0.15"/>
    <row r="106" ht="14.25" customHeight="1" x14ac:dyDescent="0.15"/>
    <row r="107" ht="14.25" customHeight="1" x14ac:dyDescent="0.15"/>
    <row r="108" ht="14.25" customHeight="1" x14ac:dyDescent="0.15"/>
    <row r="109" ht="14.25" customHeight="1" x14ac:dyDescent="0.15"/>
    <row r="110" ht="14.25" customHeight="1" x14ac:dyDescent="0.15"/>
    <row r="111" ht="14.25" customHeight="1" x14ac:dyDescent="0.15"/>
    <row r="112" ht="14.25" customHeight="1" x14ac:dyDescent="0.15"/>
    <row r="113" ht="14.25" customHeight="1" x14ac:dyDescent="0.15"/>
    <row r="114" ht="14.25" customHeight="1" x14ac:dyDescent="0.15"/>
    <row r="115" ht="14.25" customHeight="1" x14ac:dyDescent="0.15"/>
    <row r="116" ht="14.25" customHeight="1" x14ac:dyDescent="0.15"/>
    <row r="117" ht="14.25" customHeight="1" x14ac:dyDescent="0.15"/>
    <row r="118" ht="14.25" customHeight="1" x14ac:dyDescent="0.15"/>
    <row r="119" ht="14.25" customHeight="1" x14ac:dyDescent="0.15"/>
    <row r="120" ht="14.25" customHeight="1" x14ac:dyDescent="0.15"/>
    <row r="121" ht="14.25" customHeight="1" x14ac:dyDescent="0.15"/>
    <row r="122" ht="14.25" customHeight="1" x14ac:dyDescent="0.15"/>
    <row r="123" ht="14.25" customHeight="1" x14ac:dyDescent="0.15"/>
    <row r="124" ht="14.25" customHeight="1" x14ac:dyDescent="0.15"/>
    <row r="125" ht="14.25" customHeight="1" x14ac:dyDescent="0.15"/>
    <row r="126" ht="14.25" customHeight="1" x14ac:dyDescent="0.15"/>
    <row r="127" ht="14.25" customHeight="1" x14ac:dyDescent="0.15"/>
    <row r="128" ht="14.25" customHeight="1" x14ac:dyDescent="0.15"/>
    <row r="129" ht="14.25" customHeight="1" x14ac:dyDescent="0.15"/>
    <row r="130" ht="14.25" customHeight="1" x14ac:dyDescent="0.15"/>
    <row r="131" ht="14.25" customHeight="1" x14ac:dyDescent="0.15"/>
    <row r="132" ht="14.25" customHeight="1" x14ac:dyDescent="0.15"/>
    <row r="133" ht="14.25" customHeight="1" x14ac:dyDescent="0.15"/>
    <row r="134" ht="14.25" customHeight="1" x14ac:dyDescent="0.15"/>
    <row r="135" ht="14.25" customHeight="1" x14ac:dyDescent="0.15"/>
    <row r="136" ht="14.25" customHeight="1" x14ac:dyDescent="0.15"/>
    <row r="137" ht="14.25" customHeight="1" x14ac:dyDescent="0.15"/>
    <row r="138" ht="14.25" customHeight="1" x14ac:dyDescent="0.15"/>
    <row r="139" ht="14.25" customHeight="1" x14ac:dyDescent="0.15"/>
    <row r="140" ht="14.25" customHeight="1" x14ac:dyDescent="0.15"/>
    <row r="141" ht="14.25" customHeight="1" x14ac:dyDescent="0.15"/>
    <row r="142" ht="14.25" customHeight="1" x14ac:dyDescent="0.15"/>
    <row r="143" ht="14.25" customHeight="1" x14ac:dyDescent="0.15"/>
    <row r="144" ht="14.25" customHeight="1" x14ac:dyDescent="0.15"/>
    <row r="145" ht="14.25" customHeight="1" x14ac:dyDescent="0.15"/>
    <row r="146" ht="14.25" customHeight="1" x14ac:dyDescent="0.15"/>
    <row r="147" ht="14.25" customHeight="1" x14ac:dyDescent="0.15"/>
    <row r="148" ht="14.25" customHeight="1" x14ac:dyDescent="0.15"/>
    <row r="149" ht="14.25" customHeight="1" x14ac:dyDescent="0.15"/>
    <row r="150" ht="14.25" customHeight="1" x14ac:dyDescent="0.15"/>
    <row r="151" ht="14.25" customHeight="1" x14ac:dyDescent="0.15"/>
    <row r="152" ht="14.25" customHeight="1" x14ac:dyDescent="0.15"/>
    <row r="153" ht="14.25" customHeight="1" x14ac:dyDescent="0.15"/>
    <row r="154" ht="14.25" customHeight="1" x14ac:dyDescent="0.15"/>
    <row r="155" ht="14.25" customHeight="1" x14ac:dyDescent="0.15"/>
    <row r="156" ht="14.25" customHeight="1" x14ac:dyDescent="0.15"/>
    <row r="157" ht="14.25" customHeight="1" x14ac:dyDescent="0.15"/>
    <row r="158" ht="14.25" customHeight="1" x14ac:dyDescent="0.15"/>
    <row r="159" ht="14.25" customHeight="1" x14ac:dyDescent="0.15"/>
    <row r="160" ht="14.25" customHeight="1" x14ac:dyDescent="0.15"/>
    <row r="161" ht="14.25" customHeight="1" x14ac:dyDescent="0.15"/>
    <row r="162" ht="14.25" customHeight="1" x14ac:dyDescent="0.15"/>
    <row r="163" ht="14.25" customHeight="1" x14ac:dyDescent="0.15"/>
    <row r="164" ht="14.25" customHeight="1" x14ac:dyDescent="0.15"/>
    <row r="165" ht="14.25" customHeight="1" x14ac:dyDescent="0.15"/>
    <row r="166" ht="14.25" customHeight="1" x14ac:dyDescent="0.15"/>
    <row r="167" ht="14.25" customHeight="1" x14ac:dyDescent="0.15"/>
    <row r="168" ht="14.25" customHeight="1" x14ac:dyDescent="0.15"/>
    <row r="169" ht="14.25" customHeight="1" x14ac:dyDescent="0.15"/>
    <row r="170" ht="14.25" customHeight="1" x14ac:dyDescent="0.15"/>
    <row r="171" ht="14.25" customHeight="1" x14ac:dyDescent="0.15"/>
    <row r="172" ht="14.25" customHeight="1" x14ac:dyDescent="0.15"/>
    <row r="173" ht="14.25" customHeight="1" x14ac:dyDescent="0.15"/>
    <row r="174" ht="14.25" customHeight="1" x14ac:dyDescent="0.15"/>
    <row r="175" ht="14.25" customHeight="1" x14ac:dyDescent="0.15"/>
    <row r="176" ht="14.25" customHeight="1" x14ac:dyDescent="0.15"/>
    <row r="177" ht="14.25" customHeight="1" x14ac:dyDescent="0.15"/>
    <row r="178" ht="14.25" customHeight="1" x14ac:dyDescent="0.15"/>
    <row r="179" ht="14.25" customHeight="1" x14ac:dyDescent="0.15"/>
    <row r="180" ht="14.25" customHeight="1" x14ac:dyDescent="0.15"/>
    <row r="181" ht="14.25" customHeight="1" x14ac:dyDescent="0.15"/>
    <row r="182" ht="14.25" customHeight="1" x14ac:dyDescent="0.15"/>
    <row r="183" ht="14.25" customHeight="1" x14ac:dyDescent="0.15"/>
    <row r="184" ht="14.25" customHeight="1" x14ac:dyDescent="0.15"/>
    <row r="185" ht="14.25" customHeight="1" x14ac:dyDescent="0.15"/>
    <row r="186" ht="14.25" customHeight="1" x14ac:dyDescent="0.15"/>
    <row r="187" ht="14.25" customHeight="1" x14ac:dyDescent="0.15"/>
    <row r="188" ht="14.25" customHeight="1" x14ac:dyDescent="0.15"/>
    <row r="189" ht="14.25" customHeight="1" x14ac:dyDescent="0.15"/>
    <row r="190" ht="14.25" customHeight="1" x14ac:dyDescent="0.15"/>
    <row r="191" ht="14.25" customHeight="1" x14ac:dyDescent="0.15"/>
    <row r="192" ht="14.25" customHeight="1" x14ac:dyDescent="0.15"/>
    <row r="193" ht="14.25" customHeight="1" x14ac:dyDescent="0.15"/>
    <row r="194" ht="14.25" customHeight="1" x14ac:dyDescent="0.15"/>
    <row r="195" ht="14.25" customHeight="1" x14ac:dyDescent="0.15"/>
    <row r="196" ht="14.25" customHeight="1" x14ac:dyDescent="0.15"/>
    <row r="197" ht="14.25" customHeight="1" x14ac:dyDescent="0.15"/>
    <row r="198" ht="14.25" customHeight="1" x14ac:dyDescent="0.15"/>
    <row r="199" ht="14.25" customHeight="1" x14ac:dyDescent="0.15"/>
    <row r="200" ht="14.25" customHeight="1" x14ac:dyDescent="0.15"/>
    <row r="201" ht="14.25" customHeight="1" x14ac:dyDescent="0.15"/>
    <row r="202" ht="14.25" customHeight="1" x14ac:dyDescent="0.15"/>
    <row r="203" ht="14.25" customHeight="1" x14ac:dyDescent="0.15"/>
    <row r="204" ht="14.25" customHeight="1" x14ac:dyDescent="0.15"/>
    <row r="205" ht="14.25" customHeight="1" x14ac:dyDescent="0.15"/>
    <row r="206" ht="14.25" customHeight="1" x14ac:dyDescent="0.15"/>
    <row r="207" ht="14.25" customHeight="1" x14ac:dyDescent="0.15"/>
    <row r="208" ht="14.25" customHeight="1" x14ac:dyDescent="0.15"/>
    <row r="209" ht="14.25" customHeight="1" x14ac:dyDescent="0.15"/>
    <row r="210" ht="14.25" customHeight="1" x14ac:dyDescent="0.15"/>
    <row r="211" ht="14.25" customHeight="1" x14ac:dyDescent="0.15"/>
    <row r="212" ht="14.25" customHeight="1" x14ac:dyDescent="0.15"/>
    <row r="213" ht="14.25" customHeight="1" x14ac:dyDescent="0.15"/>
    <row r="214" ht="14.25" customHeight="1" x14ac:dyDescent="0.15"/>
    <row r="215" ht="14.25" customHeight="1" x14ac:dyDescent="0.15"/>
    <row r="216" ht="14.25" customHeight="1" x14ac:dyDescent="0.15"/>
    <row r="217" ht="14.25" customHeight="1" x14ac:dyDescent="0.15"/>
    <row r="218" ht="14.25" customHeight="1" x14ac:dyDescent="0.15"/>
    <row r="219" ht="14.25" customHeight="1" x14ac:dyDescent="0.15"/>
    <row r="220" ht="14.25" customHeight="1" x14ac:dyDescent="0.15"/>
    <row r="221" ht="14.25" customHeight="1" x14ac:dyDescent="0.15"/>
    <row r="222" ht="14.25" customHeight="1" x14ac:dyDescent="0.15"/>
    <row r="223" ht="14.25" customHeight="1" x14ac:dyDescent="0.15"/>
    <row r="224" ht="14.25" customHeight="1" x14ac:dyDescent="0.15"/>
    <row r="225" ht="14.25" customHeight="1" x14ac:dyDescent="0.15"/>
    <row r="226" ht="14.25" customHeight="1" x14ac:dyDescent="0.15"/>
    <row r="227" ht="14.25" customHeight="1" x14ac:dyDescent="0.15"/>
    <row r="228" ht="14.25" customHeight="1" x14ac:dyDescent="0.15"/>
    <row r="229" ht="14.25" customHeight="1" x14ac:dyDescent="0.15"/>
    <row r="230" ht="14.25" customHeight="1" x14ac:dyDescent="0.15"/>
    <row r="231" ht="14.25" customHeight="1" x14ac:dyDescent="0.15"/>
    <row r="232" ht="14.25" customHeight="1" x14ac:dyDescent="0.15"/>
    <row r="233" ht="14.25" customHeight="1" x14ac:dyDescent="0.15"/>
    <row r="234" ht="14.25" customHeight="1" x14ac:dyDescent="0.15"/>
    <row r="235" ht="14.25" customHeight="1" x14ac:dyDescent="0.15"/>
    <row r="236" ht="14.25" customHeight="1" x14ac:dyDescent="0.15"/>
    <row r="237" ht="14.25" customHeight="1" x14ac:dyDescent="0.15"/>
    <row r="238" ht="14.25" customHeight="1" x14ac:dyDescent="0.15"/>
    <row r="239" ht="14.25" customHeight="1" x14ac:dyDescent="0.15"/>
    <row r="240" ht="14.25" customHeight="1" x14ac:dyDescent="0.15"/>
    <row r="241" ht="14.25" customHeight="1" x14ac:dyDescent="0.15"/>
    <row r="242" ht="14.25" customHeight="1" x14ac:dyDescent="0.15"/>
    <row r="243" ht="14.25" customHeight="1" x14ac:dyDescent="0.15"/>
    <row r="244" ht="14.25" customHeight="1" x14ac:dyDescent="0.15"/>
    <row r="245" ht="14.25" customHeight="1" x14ac:dyDescent="0.15"/>
    <row r="246" ht="14.25" customHeight="1" x14ac:dyDescent="0.15"/>
    <row r="247" ht="14.25" customHeight="1" x14ac:dyDescent="0.15"/>
    <row r="248" ht="14.25" customHeight="1" x14ac:dyDescent="0.15"/>
    <row r="249" ht="14.25" customHeight="1" x14ac:dyDescent="0.15"/>
    <row r="250" ht="14.25" customHeight="1" x14ac:dyDescent="0.15"/>
    <row r="251" ht="14.25" customHeight="1" x14ac:dyDescent="0.15"/>
    <row r="252" ht="14.25" customHeight="1" x14ac:dyDescent="0.15"/>
    <row r="253" ht="14.25" customHeight="1" x14ac:dyDescent="0.15"/>
    <row r="254" ht="14.25" customHeight="1" x14ac:dyDescent="0.15"/>
    <row r="255" ht="14.25" customHeight="1" x14ac:dyDescent="0.15"/>
    <row r="256" ht="14.25" customHeight="1" x14ac:dyDescent="0.15"/>
    <row r="257" ht="14.25" customHeight="1" x14ac:dyDescent="0.15"/>
    <row r="258" ht="14.25" customHeight="1" x14ac:dyDescent="0.15"/>
    <row r="259" ht="14.25" customHeight="1" x14ac:dyDescent="0.15"/>
    <row r="260" ht="14.25" customHeight="1" x14ac:dyDescent="0.15"/>
    <row r="261" ht="14.25" customHeight="1" x14ac:dyDescent="0.15"/>
    <row r="262" ht="14.25" customHeight="1" x14ac:dyDescent="0.15"/>
    <row r="263" ht="14.25" customHeight="1" x14ac:dyDescent="0.15"/>
    <row r="264" ht="14.25" customHeight="1" x14ac:dyDescent="0.15"/>
    <row r="265" ht="14.25" customHeight="1" x14ac:dyDescent="0.15"/>
    <row r="266" ht="14.25" customHeight="1" x14ac:dyDescent="0.15"/>
    <row r="267" ht="14.25" customHeight="1" x14ac:dyDescent="0.15"/>
    <row r="268" ht="14.25" customHeight="1" x14ac:dyDescent="0.15"/>
    <row r="269" ht="14.25" customHeight="1" x14ac:dyDescent="0.15"/>
    <row r="270" ht="14.25" customHeight="1" x14ac:dyDescent="0.15"/>
    <row r="271" ht="14.25" customHeight="1" x14ac:dyDescent="0.15"/>
    <row r="272" ht="14.25" customHeight="1" x14ac:dyDescent="0.15"/>
    <row r="273" ht="14.25" customHeight="1" x14ac:dyDescent="0.15"/>
    <row r="274" ht="14.25" customHeight="1" x14ac:dyDescent="0.15"/>
    <row r="275" ht="14.25" customHeight="1" x14ac:dyDescent="0.15"/>
    <row r="276" ht="14.25" customHeight="1" x14ac:dyDescent="0.15"/>
    <row r="277" ht="14.25" customHeight="1" x14ac:dyDescent="0.15"/>
    <row r="278" ht="14.25" customHeight="1" x14ac:dyDescent="0.15"/>
    <row r="279" ht="14.25" customHeight="1" x14ac:dyDescent="0.15"/>
    <row r="280" ht="14.25" customHeight="1" x14ac:dyDescent="0.15"/>
    <row r="281" ht="14.25" customHeight="1" x14ac:dyDescent="0.15"/>
    <row r="282" ht="14.25" customHeight="1" x14ac:dyDescent="0.15"/>
    <row r="283" ht="14.25" customHeight="1" x14ac:dyDescent="0.15"/>
    <row r="284" ht="14.25" customHeight="1" x14ac:dyDescent="0.15"/>
    <row r="285" ht="14.25" customHeight="1" x14ac:dyDescent="0.15"/>
    <row r="286" ht="14.25" customHeight="1" x14ac:dyDescent="0.15"/>
    <row r="287" ht="14.25" customHeight="1" x14ac:dyDescent="0.15"/>
    <row r="288" ht="14.25" customHeight="1" x14ac:dyDescent="0.15"/>
    <row r="289" ht="14.25" customHeight="1" x14ac:dyDescent="0.15"/>
    <row r="290" ht="14.25" customHeight="1" x14ac:dyDescent="0.15"/>
    <row r="291" ht="14.25" customHeight="1" x14ac:dyDescent="0.15"/>
    <row r="292" ht="14.25" customHeight="1" x14ac:dyDescent="0.15"/>
    <row r="293" ht="14.25" customHeight="1" x14ac:dyDescent="0.15"/>
    <row r="294" ht="14.25" customHeight="1" x14ac:dyDescent="0.15"/>
    <row r="295" ht="14.25" customHeight="1" x14ac:dyDescent="0.15"/>
    <row r="296" ht="14.25" customHeight="1" x14ac:dyDescent="0.15"/>
    <row r="297" ht="14.25" customHeight="1" x14ac:dyDescent="0.15"/>
    <row r="298" ht="14.25" customHeight="1" x14ac:dyDescent="0.15"/>
    <row r="299" ht="14.25" customHeight="1" x14ac:dyDescent="0.15"/>
    <row r="300" ht="14.25" customHeight="1" x14ac:dyDescent="0.15"/>
    <row r="301" ht="14.25" customHeight="1" x14ac:dyDescent="0.15"/>
    <row r="302" ht="14.25" customHeight="1" x14ac:dyDescent="0.15"/>
    <row r="303" ht="14.25" customHeight="1" x14ac:dyDescent="0.15"/>
    <row r="304" ht="14.25" customHeight="1" x14ac:dyDescent="0.15"/>
    <row r="305" ht="14.25" customHeight="1" x14ac:dyDescent="0.15"/>
    <row r="306" ht="14.25" customHeight="1" x14ac:dyDescent="0.15"/>
    <row r="307" ht="14.25" customHeight="1" x14ac:dyDescent="0.15"/>
    <row r="308" ht="14.25" customHeight="1" x14ac:dyDescent="0.15"/>
    <row r="309" ht="14.25" customHeight="1" x14ac:dyDescent="0.15"/>
    <row r="310" ht="14.25" customHeight="1" x14ac:dyDescent="0.15"/>
    <row r="311" ht="14.25" customHeight="1" x14ac:dyDescent="0.15"/>
    <row r="312" ht="14.25" customHeight="1" x14ac:dyDescent="0.15"/>
    <row r="313" ht="14.25" customHeight="1" x14ac:dyDescent="0.15"/>
    <row r="314" ht="14.25" customHeight="1" x14ac:dyDescent="0.15"/>
    <row r="315" ht="14.25" customHeight="1" x14ac:dyDescent="0.15"/>
    <row r="316" ht="14.25" customHeight="1" x14ac:dyDescent="0.15"/>
    <row r="317" ht="14.25" customHeight="1" x14ac:dyDescent="0.15"/>
    <row r="318" ht="14.25" customHeight="1" x14ac:dyDescent="0.15"/>
    <row r="319" ht="14.25" customHeight="1" x14ac:dyDescent="0.15"/>
    <row r="320" ht="14.25" customHeight="1" x14ac:dyDescent="0.15"/>
    <row r="321" ht="14.25" customHeight="1" x14ac:dyDescent="0.15"/>
    <row r="322" ht="14.25" customHeight="1" x14ac:dyDescent="0.15"/>
    <row r="323" ht="14.25" customHeight="1" x14ac:dyDescent="0.15"/>
    <row r="324" ht="14.25" customHeight="1" x14ac:dyDescent="0.15"/>
    <row r="325" ht="14.25" customHeight="1" x14ac:dyDescent="0.15"/>
    <row r="326" ht="14.25" customHeight="1" x14ac:dyDescent="0.15"/>
    <row r="327" ht="14.25" customHeight="1" x14ac:dyDescent="0.15"/>
    <row r="328" ht="14.25" customHeight="1" x14ac:dyDescent="0.15"/>
    <row r="329" ht="14.25" customHeight="1" x14ac:dyDescent="0.15"/>
    <row r="330" ht="14.25" customHeight="1" x14ac:dyDescent="0.15"/>
    <row r="331" ht="14.25" customHeight="1" x14ac:dyDescent="0.15"/>
    <row r="332" ht="14.25" customHeight="1" x14ac:dyDescent="0.15"/>
    <row r="333" ht="14.25" customHeight="1" x14ac:dyDescent="0.15"/>
    <row r="334" ht="14.25" customHeight="1" x14ac:dyDescent="0.15"/>
    <row r="335" ht="14.25" customHeight="1" x14ac:dyDescent="0.15"/>
    <row r="336" ht="14.25" customHeight="1" x14ac:dyDescent="0.15"/>
    <row r="337" ht="14.25" customHeight="1" x14ac:dyDescent="0.15"/>
    <row r="338" ht="14.25" customHeight="1" x14ac:dyDescent="0.15"/>
    <row r="339" ht="14.25" customHeight="1" x14ac:dyDescent="0.15"/>
    <row r="340" ht="14.25" customHeight="1" x14ac:dyDescent="0.15"/>
    <row r="341" ht="14.25" customHeight="1" x14ac:dyDescent="0.15"/>
    <row r="342" ht="14.25" customHeight="1" x14ac:dyDescent="0.15"/>
    <row r="343" ht="14.25" customHeight="1" x14ac:dyDescent="0.15"/>
    <row r="344" ht="14.25" customHeight="1" x14ac:dyDescent="0.15"/>
    <row r="345" ht="14.25" customHeight="1" x14ac:dyDescent="0.15"/>
    <row r="346" ht="14.25" customHeight="1" x14ac:dyDescent="0.15"/>
    <row r="347" ht="14.25" customHeight="1" x14ac:dyDescent="0.15"/>
    <row r="348" ht="14.25" customHeight="1" x14ac:dyDescent="0.15"/>
    <row r="349" ht="14.25" customHeight="1" x14ac:dyDescent="0.15"/>
    <row r="350" ht="14.25" customHeight="1" x14ac:dyDescent="0.15"/>
    <row r="351" ht="14.25" customHeight="1" x14ac:dyDescent="0.15"/>
    <row r="352" ht="14.25" customHeight="1" x14ac:dyDescent="0.15"/>
    <row r="353" ht="14.25" customHeight="1" x14ac:dyDescent="0.15"/>
    <row r="354" ht="14.25" customHeight="1" x14ac:dyDescent="0.15"/>
    <row r="355" ht="14.25" customHeight="1" x14ac:dyDescent="0.15"/>
    <row r="356" ht="14.25" customHeight="1" x14ac:dyDescent="0.15"/>
    <row r="357" ht="14.25" customHeight="1" x14ac:dyDescent="0.15"/>
    <row r="358" ht="14.25" customHeight="1" x14ac:dyDescent="0.15"/>
    <row r="359" ht="14.25" customHeight="1" x14ac:dyDescent="0.15"/>
    <row r="360" ht="14.25" customHeight="1" x14ac:dyDescent="0.15"/>
    <row r="361" ht="14.25" customHeight="1" x14ac:dyDescent="0.15"/>
    <row r="362" ht="14.25" customHeight="1" x14ac:dyDescent="0.15"/>
    <row r="363" ht="14.25" customHeight="1" x14ac:dyDescent="0.15"/>
    <row r="364" ht="14.25" customHeight="1" x14ac:dyDescent="0.15"/>
    <row r="365" ht="14.25" customHeight="1" x14ac:dyDescent="0.15"/>
    <row r="366" ht="14.25" customHeight="1" x14ac:dyDescent="0.15"/>
    <row r="367" ht="14.25" customHeight="1" x14ac:dyDescent="0.15"/>
    <row r="368" ht="14.25" customHeight="1" x14ac:dyDescent="0.15"/>
    <row r="369" ht="14.25" customHeight="1" x14ac:dyDescent="0.15"/>
    <row r="370" ht="14.25" customHeight="1" x14ac:dyDescent="0.15"/>
    <row r="371" ht="14.25" customHeight="1" x14ac:dyDescent="0.15"/>
    <row r="372" ht="14.25" customHeight="1" x14ac:dyDescent="0.15"/>
    <row r="373" ht="14.25" customHeight="1" x14ac:dyDescent="0.15"/>
    <row r="374" ht="14.25" customHeight="1" x14ac:dyDescent="0.15"/>
    <row r="375" ht="14.25" customHeight="1" x14ac:dyDescent="0.15"/>
    <row r="376" ht="14.25" customHeight="1" x14ac:dyDescent="0.15"/>
    <row r="377" ht="14.25" customHeight="1" x14ac:dyDescent="0.15"/>
    <row r="378" ht="14.25" customHeight="1" x14ac:dyDescent="0.15"/>
    <row r="379" ht="14.25" customHeight="1" x14ac:dyDescent="0.15"/>
    <row r="380" ht="14.25" customHeight="1" x14ac:dyDescent="0.15"/>
    <row r="381" ht="14.25" customHeight="1" x14ac:dyDescent="0.15"/>
    <row r="382" ht="14.25" customHeight="1" x14ac:dyDescent="0.15"/>
    <row r="383" ht="14.25" customHeight="1" x14ac:dyDescent="0.15"/>
    <row r="384" ht="14.25" customHeight="1" x14ac:dyDescent="0.15"/>
    <row r="385" ht="14.25" customHeight="1" x14ac:dyDescent="0.15"/>
    <row r="386" ht="14.25" customHeight="1" x14ac:dyDescent="0.15"/>
    <row r="387" ht="14.25" customHeight="1" x14ac:dyDescent="0.15"/>
    <row r="388" ht="14.25" customHeight="1" x14ac:dyDescent="0.15"/>
    <row r="389" ht="14.25" customHeight="1" x14ac:dyDescent="0.15"/>
    <row r="390" ht="14.25" customHeight="1" x14ac:dyDescent="0.15"/>
    <row r="391" ht="14.25" customHeight="1" x14ac:dyDescent="0.15"/>
    <row r="392" ht="14.25" customHeight="1" x14ac:dyDescent="0.15"/>
    <row r="393" ht="14.25" customHeight="1" x14ac:dyDescent="0.15"/>
    <row r="394" ht="14.25" customHeight="1" x14ac:dyDescent="0.15"/>
    <row r="395" ht="14.25" customHeight="1" x14ac:dyDescent="0.15"/>
    <row r="396" ht="14.25" customHeight="1" x14ac:dyDescent="0.15"/>
    <row r="397" ht="14.25" customHeight="1" x14ac:dyDescent="0.15"/>
    <row r="398" ht="14.25" customHeight="1" x14ac:dyDescent="0.15"/>
    <row r="399" ht="14.25" customHeight="1" x14ac:dyDescent="0.15"/>
    <row r="400" ht="14.25" customHeight="1" x14ac:dyDescent="0.15"/>
    <row r="401" ht="14.25" customHeight="1" x14ac:dyDescent="0.15"/>
    <row r="402" ht="14.25" customHeight="1" x14ac:dyDescent="0.15"/>
    <row r="403" ht="14.25" customHeight="1" x14ac:dyDescent="0.15"/>
    <row r="404" ht="14.25" customHeight="1" x14ac:dyDescent="0.15"/>
    <row r="405" ht="14.25" customHeight="1" x14ac:dyDescent="0.15"/>
    <row r="406" ht="14.25" customHeight="1" x14ac:dyDescent="0.15"/>
    <row r="407" ht="14.25" customHeight="1" x14ac:dyDescent="0.15"/>
    <row r="408" ht="14.25" customHeight="1" x14ac:dyDescent="0.15"/>
    <row r="409" ht="14.25" customHeight="1" x14ac:dyDescent="0.15"/>
    <row r="410" ht="14.25" customHeight="1" x14ac:dyDescent="0.15"/>
    <row r="411" ht="14.25" customHeight="1" x14ac:dyDescent="0.15"/>
    <row r="412" ht="14.25" customHeight="1" x14ac:dyDescent="0.15"/>
    <row r="413" ht="14.25" customHeight="1" x14ac:dyDescent="0.15"/>
    <row r="414" ht="14.25" customHeight="1" x14ac:dyDescent="0.15"/>
    <row r="415" ht="14.25" customHeight="1" x14ac:dyDescent="0.15"/>
    <row r="416" ht="14.25" customHeight="1" x14ac:dyDescent="0.15"/>
    <row r="417" ht="14.25" customHeight="1" x14ac:dyDescent="0.15"/>
    <row r="418" ht="14.25" customHeight="1" x14ac:dyDescent="0.15"/>
    <row r="419" ht="14.25" customHeight="1" x14ac:dyDescent="0.15"/>
    <row r="420" ht="14.25" customHeight="1" x14ac:dyDescent="0.15"/>
    <row r="421" ht="14.25" customHeight="1" x14ac:dyDescent="0.15"/>
    <row r="422" ht="14.25" customHeight="1" x14ac:dyDescent="0.15"/>
    <row r="423" ht="14.25" customHeight="1" x14ac:dyDescent="0.15"/>
    <row r="424" ht="14.25" customHeight="1" x14ac:dyDescent="0.15"/>
    <row r="425" ht="14.25" customHeight="1" x14ac:dyDescent="0.15"/>
    <row r="426" ht="14.25" customHeight="1" x14ac:dyDescent="0.15"/>
    <row r="427" ht="14.25" customHeight="1" x14ac:dyDescent="0.15"/>
    <row r="428" ht="14.25" customHeight="1" x14ac:dyDescent="0.15"/>
    <row r="429" ht="14.25" customHeight="1" x14ac:dyDescent="0.15"/>
    <row r="430" ht="14.25" customHeight="1" x14ac:dyDescent="0.15"/>
    <row r="431" ht="14.25" customHeight="1" x14ac:dyDescent="0.15"/>
    <row r="432" ht="14.25" customHeight="1" x14ac:dyDescent="0.15"/>
    <row r="433" ht="14.25" customHeight="1" x14ac:dyDescent="0.15"/>
    <row r="434" ht="14.25" customHeight="1" x14ac:dyDescent="0.15"/>
    <row r="435" ht="14.25" customHeight="1" x14ac:dyDescent="0.15"/>
    <row r="436" ht="14.25" customHeight="1" x14ac:dyDescent="0.15"/>
    <row r="437" ht="14.25" customHeight="1" x14ac:dyDescent="0.15"/>
    <row r="438" ht="14.25" customHeight="1" x14ac:dyDescent="0.15"/>
    <row r="439" ht="14.25" customHeight="1" x14ac:dyDescent="0.15"/>
    <row r="440" ht="14.25" customHeight="1" x14ac:dyDescent="0.15"/>
    <row r="441" ht="14.25" customHeight="1" x14ac:dyDescent="0.15"/>
    <row r="442" ht="14.25" customHeight="1" x14ac:dyDescent="0.15"/>
    <row r="443" ht="14.25" customHeight="1" x14ac:dyDescent="0.15"/>
    <row r="444" ht="14.25" customHeight="1" x14ac:dyDescent="0.15"/>
    <row r="445" ht="14.25" customHeight="1" x14ac:dyDescent="0.15"/>
    <row r="446" ht="14.25" customHeight="1" x14ac:dyDescent="0.15"/>
    <row r="447" ht="14.25" customHeight="1" x14ac:dyDescent="0.15"/>
    <row r="448" ht="14.25" customHeight="1" x14ac:dyDescent="0.15"/>
    <row r="449" ht="14.25" customHeight="1" x14ac:dyDescent="0.15"/>
    <row r="450" ht="14.25" customHeight="1" x14ac:dyDescent="0.15"/>
    <row r="451" ht="14.25" customHeight="1" x14ac:dyDescent="0.15"/>
    <row r="452" ht="14.25" customHeight="1" x14ac:dyDescent="0.15"/>
    <row r="453" ht="14.25" customHeight="1" x14ac:dyDescent="0.15"/>
    <row r="454" ht="14.25" customHeight="1" x14ac:dyDescent="0.15"/>
    <row r="455" ht="14.25" customHeight="1" x14ac:dyDescent="0.15"/>
    <row r="456" ht="14.25" customHeight="1" x14ac:dyDescent="0.15"/>
    <row r="457" ht="14.25" customHeight="1" x14ac:dyDescent="0.15"/>
    <row r="458" ht="14.25" customHeight="1" x14ac:dyDescent="0.15"/>
    <row r="459" ht="14.25" customHeight="1" x14ac:dyDescent="0.15"/>
    <row r="460" ht="14.25" customHeight="1" x14ac:dyDescent="0.15"/>
    <row r="461" ht="14.25" customHeight="1" x14ac:dyDescent="0.15"/>
    <row r="462" ht="14.25" customHeight="1" x14ac:dyDescent="0.15"/>
    <row r="463" ht="14.25" customHeight="1" x14ac:dyDescent="0.15"/>
    <row r="464" ht="14.25" customHeight="1" x14ac:dyDescent="0.15"/>
    <row r="465" ht="14.25" customHeight="1" x14ac:dyDescent="0.15"/>
    <row r="466" ht="14.25" customHeight="1" x14ac:dyDescent="0.15"/>
    <row r="467" ht="14.25" customHeight="1" x14ac:dyDescent="0.15"/>
    <row r="468" ht="14.25" customHeight="1" x14ac:dyDescent="0.15"/>
    <row r="469" ht="14.25" customHeight="1" x14ac:dyDescent="0.15"/>
    <row r="470" ht="14.25" customHeight="1" x14ac:dyDescent="0.15"/>
    <row r="471" ht="14.25" customHeight="1" x14ac:dyDescent="0.15"/>
    <row r="472" ht="14.25" customHeight="1" x14ac:dyDescent="0.15"/>
    <row r="473" ht="14.25" customHeight="1" x14ac:dyDescent="0.15"/>
    <row r="474" ht="14.25" customHeight="1" x14ac:dyDescent="0.15"/>
    <row r="475" ht="14.25" customHeight="1" x14ac:dyDescent="0.15"/>
    <row r="476" ht="14.25" customHeight="1" x14ac:dyDescent="0.15"/>
    <row r="477" ht="14.25" customHeight="1" x14ac:dyDescent="0.15"/>
    <row r="478" ht="14.25" customHeight="1" x14ac:dyDescent="0.15"/>
    <row r="479" ht="14.25" customHeight="1" x14ac:dyDescent="0.15"/>
    <row r="480" ht="14.25" customHeight="1" x14ac:dyDescent="0.15"/>
    <row r="481" ht="14.25" customHeight="1" x14ac:dyDescent="0.15"/>
    <row r="482" ht="14.25" customHeight="1" x14ac:dyDescent="0.15"/>
    <row r="483" ht="14.25" customHeight="1" x14ac:dyDescent="0.15"/>
    <row r="484" ht="14.25" customHeight="1" x14ac:dyDescent="0.15"/>
    <row r="485" ht="14.25" customHeight="1" x14ac:dyDescent="0.15"/>
    <row r="486" ht="14.25" customHeight="1" x14ac:dyDescent="0.15"/>
    <row r="487" ht="14.25" customHeight="1" x14ac:dyDescent="0.15"/>
    <row r="488" ht="14.25" customHeight="1" x14ac:dyDescent="0.15"/>
    <row r="489" ht="14.25" customHeight="1" x14ac:dyDescent="0.15"/>
    <row r="490" ht="14.25" customHeight="1" x14ac:dyDescent="0.15"/>
    <row r="491" ht="14.25" customHeight="1" x14ac:dyDescent="0.15"/>
    <row r="492" ht="14.25" customHeight="1" x14ac:dyDescent="0.15"/>
    <row r="493" ht="14.25" customHeight="1" x14ac:dyDescent="0.15"/>
    <row r="494" ht="14.25" customHeight="1" x14ac:dyDescent="0.15"/>
    <row r="495" ht="14.25" customHeight="1" x14ac:dyDescent="0.15"/>
    <row r="496" ht="14.25" customHeight="1" x14ac:dyDescent="0.15"/>
    <row r="497" ht="14.25" customHeight="1" x14ac:dyDescent="0.15"/>
    <row r="498" ht="14.25" customHeight="1" x14ac:dyDescent="0.15"/>
    <row r="499" ht="14.25" customHeight="1" x14ac:dyDescent="0.15"/>
    <row r="500" ht="14.25" customHeight="1" x14ac:dyDescent="0.15"/>
    <row r="501" ht="14.25" customHeight="1" x14ac:dyDescent="0.15"/>
    <row r="502" ht="14.25" customHeight="1" x14ac:dyDescent="0.15"/>
    <row r="503" ht="14.25" customHeight="1" x14ac:dyDescent="0.15"/>
    <row r="504" ht="14.25" customHeight="1" x14ac:dyDescent="0.15"/>
    <row r="505" ht="14.25" customHeight="1" x14ac:dyDescent="0.15"/>
    <row r="506" ht="14.25" customHeight="1" x14ac:dyDescent="0.15"/>
    <row r="507" ht="14.25" customHeight="1" x14ac:dyDescent="0.15"/>
    <row r="508" ht="14.25" customHeight="1" x14ac:dyDescent="0.15"/>
    <row r="509" ht="14.25" customHeight="1" x14ac:dyDescent="0.15"/>
    <row r="510" ht="14.25" customHeight="1" x14ac:dyDescent="0.15"/>
    <row r="511" ht="14.25" customHeight="1" x14ac:dyDescent="0.15"/>
    <row r="512" ht="14.25" customHeight="1" x14ac:dyDescent="0.15"/>
    <row r="513" ht="14.25" customHeight="1" x14ac:dyDescent="0.15"/>
    <row r="514" ht="14.25" customHeight="1" x14ac:dyDescent="0.15"/>
    <row r="515" ht="14.25" customHeight="1" x14ac:dyDescent="0.15"/>
    <row r="516" ht="14.25" customHeight="1" x14ac:dyDescent="0.15"/>
    <row r="517" ht="14.25" customHeight="1" x14ac:dyDescent="0.15"/>
    <row r="518" ht="14.25" customHeight="1" x14ac:dyDescent="0.15"/>
    <row r="519" ht="14.25" customHeight="1" x14ac:dyDescent="0.15"/>
    <row r="520" ht="14.25" customHeight="1" x14ac:dyDescent="0.15"/>
    <row r="521" ht="14.25" customHeight="1" x14ac:dyDescent="0.15"/>
    <row r="522" ht="14.25" customHeight="1" x14ac:dyDescent="0.15"/>
    <row r="523" ht="14.25" customHeight="1" x14ac:dyDescent="0.15"/>
    <row r="524" ht="14.25" customHeight="1" x14ac:dyDescent="0.15"/>
    <row r="525" ht="14.25" customHeight="1" x14ac:dyDescent="0.15"/>
    <row r="526" ht="14.25" customHeight="1" x14ac:dyDescent="0.15"/>
    <row r="527" ht="14.25" customHeight="1" x14ac:dyDescent="0.15"/>
    <row r="528" ht="14.25" customHeight="1" x14ac:dyDescent="0.15"/>
    <row r="529" ht="14.25" customHeight="1" x14ac:dyDescent="0.15"/>
    <row r="530" ht="14.25" customHeight="1" x14ac:dyDescent="0.15"/>
    <row r="531" ht="14.25" customHeight="1" x14ac:dyDescent="0.15"/>
    <row r="532" ht="14.25" customHeight="1" x14ac:dyDescent="0.15"/>
    <row r="533" ht="14.25" customHeight="1" x14ac:dyDescent="0.15"/>
    <row r="534" ht="14.25" customHeight="1" x14ac:dyDescent="0.15"/>
    <row r="535" ht="14.25" customHeight="1" x14ac:dyDescent="0.15"/>
    <row r="536" ht="14.25" customHeight="1" x14ac:dyDescent="0.15"/>
    <row r="537" ht="14.25" customHeight="1" x14ac:dyDescent="0.15"/>
    <row r="538" ht="14.25" customHeight="1" x14ac:dyDescent="0.15"/>
    <row r="539" ht="14.25" customHeight="1" x14ac:dyDescent="0.15"/>
    <row r="540" ht="14.25" customHeight="1" x14ac:dyDescent="0.15"/>
    <row r="541" ht="14.25" customHeight="1" x14ac:dyDescent="0.15"/>
    <row r="542" ht="14.25" customHeight="1" x14ac:dyDescent="0.15"/>
    <row r="543" ht="14.25" customHeight="1" x14ac:dyDescent="0.15"/>
    <row r="544" ht="14.25" customHeight="1" x14ac:dyDescent="0.15"/>
    <row r="545" ht="14.25" customHeight="1" x14ac:dyDescent="0.15"/>
    <row r="546" ht="14.25" customHeight="1" x14ac:dyDescent="0.15"/>
    <row r="547" ht="14.25" customHeight="1" x14ac:dyDescent="0.15"/>
    <row r="548" ht="14.25" customHeight="1" x14ac:dyDescent="0.15"/>
    <row r="549" ht="14.25" customHeight="1" x14ac:dyDescent="0.15"/>
    <row r="550" ht="14.25" customHeight="1" x14ac:dyDescent="0.15"/>
    <row r="551" ht="14.25" customHeight="1" x14ac:dyDescent="0.15"/>
    <row r="552" ht="14.25" customHeight="1" x14ac:dyDescent="0.15"/>
    <row r="553" ht="14.25" customHeight="1" x14ac:dyDescent="0.15"/>
    <row r="554" ht="14.25" customHeight="1" x14ac:dyDescent="0.15"/>
    <row r="555" ht="14.25" customHeight="1" x14ac:dyDescent="0.15"/>
    <row r="556" ht="14.25" customHeight="1" x14ac:dyDescent="0.15"/>
    <row r="557" ht="14.25" customHeight="1" x14ac:dyDescent="0.15"/>
    <row r="558" ht="14.25" customHeight="1" x14ac:dyDescent="0.15"/>
    <row r="559" ht="14.25" customHeight="1" x14ac:dyDescent="0.15"/>
    <row r="560" ht="14.25" customHeight="1" x14ac:dyDescent="0.15"/>
    <row r="561" ht="14.25" customHeight="1" x14ac:dyDescent="0.15"/>
    <row r="562" ht="14.25" customHeight="1" x14ac:dyDescent="0.15"/>
    <row r="563" ht="14.25" customHeight="1" x14ac:dyDescent="0.15"/>
    <row r="564" ht="14.25" customHeight="1" x14ac:dyDescent="0.15"/>
    <row r="565" ht="14.25" customHeight="1" x14ac:dyDescent="0.15"/>
    <row r="566" ht="14.25" customHeight="1" x14ac:dyDescent="0.15"/>
    <row r="567" ht="14.25" customHeight="1" x14ac:dyDescent="0.15"/>
    <row r="568" ht="14.25" customHeight="1" x14ac:dyDescent="0.15"/>
    <row r="569" ht="14.25" customHeight="1" x14ac:dyDescent="0.15"/>
    <row r="570" ht="14.25" customHeight="1" x14ac:dyDescent="0.15"/>
    <row r="571" ht="14.25" customHeight="1" x14ac:dyDescent="0.15"/>
    <row r="572" ht="14.25" customHeight="1" x14ac:dyDescent="0.15"/>
    <row r="573" ht="14.25" customHeight="1" x14ac:dyDescent="0.15"/>
    <row r="574" ht="14.25" customHeight="1" x14ac:dyDescent="0.15"/>
    <row r="575" ht="14.25" customHeight="1" x14ac:dyDescent="0.15"/>
    <row r="576" ht="14.25" customHeight="1" x14ac:dyDescent="0.15"/>
    <row r="577" ht="14.25" customHeight="1" x14ac:dyDescent="0.15"/>
    <row r="578" ht="14.25" customHeight="1" x14ac:dyDescent="0.15"/>
    <row r="579" ht="14.25" customHeight="1" x14ac:dyDescent="0.15"/>
    <row r="580" ht="14.25" customHeight="1" x14ac:dyDescent="0.15"/>
    <row r="581" ht="14.25" customHeight="1" x14ac:dyDescent="0.15"/>
    <row r="582" ht="14.25" customHeight="1" x14ac:dyDescent="0.15"/>
    <row r="583" ht="14.25" customHeight="1" x14ac:dyDescent="0.15"/>
    <row r="584" ht="14.25" customHeight="1" x14ac:dyDescent="0.15"/>
    <row r="585" ht="14.25" customHeight="1" x14ac:dyDescent="0.15"/>
    <row r="586" ht="14.25" customHeight="1" x14ac:dyDescent="0.15"/>
    <row r="587" ht="14.25" customHeight="1" x14ac:dyDescent="0.15"/>
    <row r="588" ht="14.25" customHeight="1" x14ac:dyDescent="0.15"/>
    <row r="589" ht="14.25" customHeight="1" x14ac:dyDescent="0.15"/>
    <row r="590" ht="14.25" customHeight="1" x14ac:dyDescent="0.15"/>
    <row r="591" ht="14.25" customHeight="1" x14ac:dyDescent="0.15"/>
    <row r="592" ht="14.25" customHeight="1" x14ac:dyDescent="0.15"/>
    <row r="593" ht="14.25" customHeight="1" x14ac:dyDescent="0.15"/>
    <row r="594" ht="14.25" customHeight="1" x14ac:dyDescent="0.15"/>
    <row r="595" ht="14.25" customHeight="1" x14ac:dyDescent="0.15"/>
    <row r="596" ht="14.25" customHeight="1" x14ac:dyDescent="0.15"/>
    <row r="597" ht="14.25" customHeight="1" x14ac:dyDescent="0.15"/>
    <row r="598" ht="14.25" customHeight="1" x14ac:dyDescent="0.15"/>
    <row r="599" ht="14.25" customHeight="1" x14ac:dyDescent="0.15"/>
    <row r="600" ht="14.25" customHeight="1" x14ac:dyDescent="0.15"/>
    <row r="601" ht="14.25" customHeight="1" x14ac:dyDescent="0.15"/>
    <row r="602" ht="14.25" customHeight="1" x14ac:dyDescent="0.15"/>
    <row r="603" ht="14.25" customHeight="1" x14ac:dyDescent="0.15"/>
    <row r="604" ht="14.25" customHeight="1" x14ac:dyDescent="0.15"/>
    <row r="605" ht="14.25" customHeight="1" x14ac:dyDescent="0.15"/>
    <row r="606" ht="14.25" customHeight="1" x14ac:dyDescent="0.15"/>
    <row r="607" ht="14.25" customHeight="1" x14ac:dyDescent="0.15"/>
    <row r="608" ht="14.25" customHeight="1" x14ac:dyDescent="0.15"/>
    <row r="609" ht="14.25" customHeight="1" x14ac:dyDescent="0.15"/>
    <row r="610" ht="14.25" customHeight="1" x14ac:dyDescent="0.15"/>
    <row r="611" ht="14.25" customHeight="1" x14ac:dyDescent="0.15"/>
    <row r="612" ht="14.25" customHeight="1" x14ac:dyDescent="0.15"/>
    <row r="613" ht="14.25" customHeight="1" x14ac:dyDescent="0.15"/>
    <row r="614" ht="14.25" customHeight="1" x14ac:dyDescent="0.15"/>
    <row r="615" ht="14.25" customHeight="1" x14ac:dyDescent="0.15"/>
    <row r="616" ht="14.25" customHeight="1" x14ac:dyDescent="0.15"/>
    <row r="617" ht="14.25" customHeight="1" x14ac:dyDescent="0.15"/>
    <row r="618" ht="14.25" customHeight="1" x14ac:dyDescent="0.15"/>
    <row r="619" ht="14.25" customHeight="1" x14ac:dyDescent="0.15"/>
    <row r="620" ht="14.25" customHeight="1" x14ac:dyDescent="0.15"/>
    <row r="621" ht="14.25" customHeight="1" x14ac:dyDescent="0.15"/>
    <row r="622" ht="14.25" customHeight="1" x14ac:dyDescent="0.15"/>
    <row r="623" ht="14.25" customHeight="1" x14ac:dyDescent="0.15"/>
    <row r="624" ht="14.25" customHeight="1" x14ac:dyDescent="0.15"/>
    <row r="625" ht="14.25" customHeight="1" x14ac:dyDescent="0.15"/>
    <row r="626" ht="14.25" customHeight="1" x14ac:dyDescent="0.15"/>
    <row r="627" ht="14.25" customHeight="1" x14ac:dyDescent="0.15"/>
    <row r="628" ht="14.25" customHeight="1" x14ac:dyDescent="0.15"/>
    <row r="629" ht="14.25" customHeight="1" x14ac:dyDescent="0.15"/>
    <row r="630" ht="14.25" customHeight="1" x14ac:dyDescent="0.15"/>
    <row r="631" ht="14.25" customHeight="1" x14ac:dyDescent="0.15"/>
    <row r="632" ht="14.25" customHeight="1" x14ac:dyDescent="0.15"/>
    <row r="633" ht="14.25" customHeight="1" x14ac:dyDescent="0.15"/>
    <row r="634" ht="14.25" customHeight="1" x14ac:dyDescent="0.15"/>
    <row r="635" ht="14.25" customHeight="1" x14ac:dyDescent="0.15"/>
    <row r="636" ht="14.25" customHeight="1" x14ac:dyDescent="0.15"/>
    <row r="637" ht="14.25" customHeight="1" x14ac:dyDescent="0.15"/>
    <row r="638" ht="14.25" customHeight="1" x14ac:dyDescent="0.15"/>
    <row r="639" ht="14.25" customHeight="1" x14ac:dyDescent="0.15"/>
    <row r="640" ht="14.25" customHeight="1" x14ac:dyDescent="0.15"/>
    <row r="641" ht="14.25" customHeight="1" x14ac:dyDescent="0.15"/>
    <row r="642" ht="14.25" customHeight="1" x14ac:dyDescent="0.15"/>
    <row r="643" ht="14.25" customHeight="1" x14ac:dyDescent="0.15"/>
    <row r="644" ht="14.25" customHeight="1" x14ac:dyDescent="0.15"/>
    <row r="645" ht="14.25" customHeight="1" x14ac:dyDescent="0.15"/>
    <row r="646" ht="14.25" customHeight="1" x14ac:dyDescent="0.15"/>
    <row r="647" ht="14.25" customHeight="1" x14ac:dyDescent="0.15"/>
    <row r="648" ht="14.25" customHeight="1" x14ac:dyDescent="0.15"/>
    <row r="649" ht="14.25" customHeight="1" x14ac:dyDescent="0.15"/>
    <row r="650" ht="14.25" customHeight="1" x14ac:dyDescent="0.15"/>
    <row r="651" ht="14.25" customHeight="1" x14ac:dyDescent="0.15"/>
    <row r="652" ht="14.25" customHeight="1" x14ac:dyDescent="0.15"/>
    <row r="653" ht="14.25" customHeight="1" x14ac:dyDescent="0.15"/>
    <row r="654" ht="14.25" customHeight="1" x14ac:dyDescent="0.15"/>
    <row r="655" ht="14.25" customHeight="1" x14ac:dyDescent="0.15"/>
    <row r="656" ht="14.25" customHeight="1" x14ac:dyDescent="0.15"/>
    <row r="657" ht="14.25" customHeight="1" x14ac:dyDescent="0.15"/>
    <row r="658" ht="14.25" customHeight="1" x14ac:dyDescent="0.15"/>
    <row r="659" ht="14.25" customHeight="1" x14ac:dyDescent="0.15"/>
    <row r="660" ht="14.25" customHeight="1" x14ac:dyDescent="0.15"/>
    <row r="661" ht="14.25" customHeight="1" x14ac:dyDescent="0.15"/>
    <row r="662" ht="14.25" customHeight="1" x14ac:dyDescent="0.15"/>
    <row r="663" ht="14.25" customHeight="1" x14ac:dyDescent="0.15"/>
    <row r="664" ht="14.25" customHeight="1" x14ac:dyDescent="0.15"/>
    <row r="665" ht="14.25" customHeight="1" x14ac:dyDescent="0.15"/>
    <row r="666" ht="14.25" customHeight="1" x14ac:dyDescent="0.15"/>
    <row r="667" ht="14.25" customHeight="1" x14ac:dyDescent="0.15"/>
    <row r="668" ht="14.25" customHeight="1" x14ac:dyDescent="0.15"/>
    <row r="669" ht="14.25" customHeight="1" x14ac:dyDescent="0.15"/>
    <row r="670" ht="14.25" customHeight="1" x14ac:dyDescent="0.15"/>
    <row r="671" ht="14.25" customHeight="1" x14ac:dyDescent="0.15"/>
    <row r="672" ht="14.25" customHeight="1" x14ac:dyDescent="0.15"/>
    <row r="673" ht="14.25" customHeight="1" x14ac:dyDescent="0.15"/>
    <row r="674" ht="14.25" customHeight="1" x14ac:dyDescent="0.15"/>
    <row r="675" ht="14.25" customHeight="1" x14ac:dyDescent="0.15"/>
    <row r="676" ht="14.25" customHeight="1" x14ac:dyDescent="0.15"/>
    <row r="677" ht="14.25" customHeight="1" x14ac:dyDescent="0.15"/>
    <row r="678" ht="14.25" customHeight="1" x14ac:dyDescent="0.15"/>
    <row r="679" ht="14.25" customHeight="1" x14ac:dyDescent="0.15"/>
    <row r="680" ht="14.25" customHeight="1" x14ac:dyDescent="0.15"/>
    <row r="681" ht="14.25" customHeight="1" x14ac:dyDescent="0.15"/>
    <row r="682" ht="14.25" customHeight="1" x14ac:dyDescent="0.15"/>
    <row r="683" ht="14.25" customHeight="1" x14ac:dyDescent="0.15"/>
    <row r="684" ht="14.25" customHeight="1" x14ac:dyDescent="0.15"/>
    <row r="685" ht="14.25" customHeight="1" x14ac:dyDescent="0.15"/>
    <row r="686" ht="14.25" customHeight="1" x14ac:dyDescent="0.15"/>
    <row r="687" ht="14.25" customHeight="1" x14ac:dyDescent="0.15"/>
    <row r="688" ht="14.25" customHeight="1" x14ac:dyDescent="0.15"/>
    <row r="689" ht="14.25" customHeight="1" x14ac:dyDescent="0.15"/>
    <row r="690" ht="14.25" customHeight="1" x14ac:dyDescent="0.15"/>
    <row r="691" ht="14.25" customHeight="1" x14ac:dyDescent="0.15"/>
    <row r="692" ht="14.25" customHeight="1" x14ac:dyDescent="0.15"/>
    <row r="693" ht="14.25" customHeight="1" x14ac:dyDescent="0.15"/>
    <row r="694" ht="14.25" customHeight="1" x14ac:dyDescent="0.15"/>
    <row r="695" ht="14.25" customHeight="1" x14ac:dyDescent="0.15"/>
    <row r="696" ht="14.25" customHeight="1" x14ac:dyDescent="0.15"/>
    <row r="697" ht="14.25" customHeight="1" x14ac:dyDescent="0.15"/>
    <row r="698" ht="14.25" customHeight="1" x14ac:dyDescent="0.15"/>
    <row r="699" ht="14.25" customHeight="1" x14ac:dyDescent="0.15"/>
    <row r="700" ht="14.25" customHeight="1" x14ac:dyDescent="0.15"/>
    <row r="701" ht="14.25" customHeight="1" x14ac:dyDescent="0.15"/>
    <row r="702" ht="14.25" customHeight="1" x14ac:dyDescent="0.15"/>
    <row r="703" ht="14.25" customHeight="1" x14ac:dyDescent="0.15"/>
    <row r="704" ht="14.25" customHeight="1" x14ac:dyDescent="0.15"/>
    <row r="705" ht="14.25" customHeight="1" x14ac:dyDescent="0.15"/>
    <row r="706" ht="14.25" customHeight="1" x14ac:dyDescent="0.15"/>
    <row r="707" ht="14.25" customHeight="1" x14ac:dyDescent="0.15"/>
    <row r="708" ht="14.25" customHeight="1" x14ac:dyDescent="0.15"/>
    <row r="709" ht="14.25" customHeight="1" x14ac:dyDescent="0.15"/>
    <row r="710" ht="14.25" customHeight="1" x14ac:dyDescent="0.15"/>
    <row r="711" ht="14.25" customHeight="1" x14ac:dyDescent="0.15"/>
    <row r="712" ht="14.25" customHeight="1" x14ac:dyDescent="0.15"/>
    <row r="713" ht="14.25" customHeight="1" x14ac:dyDescent="0.15"/>
    <row r="714" ht="14.25" customHeight="1" x14ac:dyDescent="0.15"/>
    <row r="715" ht="14.25" customHeight="1" x14ac:dyDescent="0.15"/>
    <row r="716" ht="14.25" customHeight="1" x14ac:dyDescent="0.15"/>
    <row r="717" ht="14.25" customHeight="1" x14ac:dyDescent="0.15"/>
    <row r="718" ht="14.25" customHeight="1" x14ac:dyDescent="0.15"/>
    <row r="719" ht="14.25" customHeight="1" x14ac:dyDescent="0.15"/>
    <row r="720" ht="14.25" customHeight="1" x14ac:dyDescent="0.15"/>
    <row r="721" ht="14.25" customHeight="1" x14ac:dyDescent="0.15"/>
    <row r="722" ht="14.25" customHeight="1" x14ac:dyDescent="0.15"/>
    <row r="723" ht="14.25" customHeight="1" x14ac:dyDescent="0.15"/>
    <row r="724" ht="14.25" customHeight="1" x14ac:dyDescent="0.15"/>
    <row r="725" ht="14.25" customHeight="1" x14ac:dyDescent="0.15"/>
    <row r="726" ht="14.25" customHeight="1" x14ac:dyDescent="0.15"/>
    <row r="727" ht="14.25" customHeight="1" x14ac:dyDescent="0.15"/>
    <row r="728" ht="14.25" customHeight="1" x14ac:dyDescent="0.15"/>
    <row r="729" ht="14.25" customHeight="1" x14ac:dyDescent="0.15"/>
    <row r="730" ht="14.25" customHeight="1" x14ac:dyDescent="0.15"/>
    <row r="731" ht="14.25" customHeight="1" x14ac:dyDescent="0.15"/>
    <row r="732" ht="14.25" customHeight="1" x14ac:dyDescent="0.15"/>
    <row r="733" ht="14.25" customHeight="1" x14ac:dyDescent="0.15"/>
    <row r="734" ht="14.25" customHeight="1" x14ac:dyDescent="0.15"/>
    <row r="735" ht="14.25" customHeight="1" x14ac:dyDescent="0.15"/>
    <row r="736" ht="14.25" customHeight="1" x14ac:dyDescent="0.15"/>
    <row r="737" ht="14.25" customHeight="1" x14ac:dyDescent="0.15"/>
    <row r="738" ht="14.25" customHeight="1" x14ac:dyDescent="0.15"/>
    <row r="739" ht="14.25" customHeight="1" x14ac:dyDescent="0.15"/>
    <row r="740" ht="14.25" customHeight="1" x14ac:dyDescent="0.15"/>
    <row r="741" ht="14.25" customHeight="1" x14ac:dyDescent="0.15"/>
    <row r="742" ht="14.25" customHeight="1" x14ac:dyDescent="0.15"/>
    <row r="743" ht="14.25" customHeight="1" x14ac:dyDescent="0.15"/>
    <row r="744" ht="14.25" customHeight="1" x14ac:dyDescent="0.15"/>
    <row r="745" ht="14.25" customHeight="1" x14ac:dyDescent="0.15"/>
    <row r="746" ht="14.25" customHeight="1" x14ac:dyDescent="0.15"/>
    <row r="747" ht="14.25" customHeight="1" x14ac:dyDescent="0.15"/>
    <row r="748" ht="14.25" customHeight="1" x14ac:dyDescent="0.15"/>
    <row r="749" ht="14.25" customHeight="1" x14ac:dyDescent="0.15"/>
    <row r="750" ht="14.25" customHeight="1" x14ac:dyDescent="0.15"/>
    <row r="751" ht="14.25" customHeight="1" x14ac:dyDescent="0.15"/>
    <row r="752" ht="14.25" customHeight="1" x14ac:dyDescent="0.15"/>
    <row r="753" ht="14.25" customHeight="1" x14ac:dyDescent="0.15"/>
    <row r="754" ht="14.25" customHeight="1" x14ac:dyDescent="0.15"/>
    <row r="755" ht="14.25" customHeight="1" x14ac:dyDescent="0.15"/>
    <row r="756" ht="14.25" customHeight="1" x14ac:dyDescent="0.15"/>
    <row r="757" ht="14.25" customHeight="1" x14ac:dyDescent="0.15"/>
    <row r="758" ht="14.25" customHeight="1" x14ac:dyDescent="0.15"/>
    <row r="759" ht="14.25" customHeight="1" x14ac:dyDescent="0.15"/>
    <row r="760" ht="14.25" customHeight="1" x14ac:dyDescent="0.15"/>
    <row r="761" ht="14.25" customHeight="1" x14ac:dyDescent="0.15"/>
    <row r="762" ht="14.25" customHeight="1" x14ac:dyDescent="0.15"/>
    <row r="763" ht="14.25" customHeight="1" x14ac:dyDescent="0.15"/>
    <row r="764" ht="14.25" customHeight="1" x14ac:dyDescent="0.15"/>
    <row r="765" ht="14.25" customHeight="1" x14ac:dyDescent="0.15"/>
    <row r="766" ht="14.25" customHeight="1" x14ac:dyDescent="0.15"/>
    <row r="767" ht="14.25" customHeight="1" x14ac:dyDescent="0.15"/>
    <row r="768" ht="14.25" customHeight="1" x14ac:dyDescent="0.15"/>
    <row r="769" ht="14.25" customHeight="1" x14ac:dyDescent="0.15"/>
    <row r="770" ht="14.25" customHeight="1" x14ac:dyDescent="0.15"/>
    <row r="771" ht="14.25" customHeight="1" x14ac:dyDescent="0.15"/>
    <row r="772" ht="14.25" customHeight="1" x14ac:dyDescent="0.15"/>
    <row r="773" ht="14.25" customHeight="1" x14ac:dyDescent="0.15"/>
    <row r="774" ht="14.25" customHeight="1" x14ac:dyDescent="0.15"/>
    <row r="775" ht="14.25" customHeight="1" x14ac:dyDescent="0.15"/>
    <row r="776" ht="14.25" customHeight="1" x14ac:dyDescent="0.15"/>
    <row r="777" ht="14.25" customHeight="1" x14ac:dyDescent="0.15"/>
    <row r="778" ht="14.25" customHeight="1" x14ac:dyDescent="0.15"/>
    <row r="779" ht="14.25" customHeight="1" x14ac:dyDescent="0.15"/>
    <row r="780" ht="14.25" customHeight="1" x14ac:dyDescent="0.15"/>
    <row r="781" ht="14.25" customHeight="1" x14ac:dyDescent="0.15"/>
    <row r="782" ht="14.25" customHeight="1" x14ac:dyDescent="0.15"/>
    <row r="783" ht="14.25" customHeight="1" x14ac:dyDescent="0.15"/>
    <row r="784" ht="14.25" customHeight="1" x14ac:dyDescent="0.15"/>
    <row r="785" ht="14.25" customHeight="1" x14ac:dyDescent="0.15"/>
    <row r="786" ht="14.25" customHeight="1" x14ac:dyDescent="0.15"/>
    <row r="787" ht="14.25" customHeight="1" x14ac:dyDescent="0.15"/>
    <row r="788" ht="14.25" customHeight="1" x14ac:dyDescent="0.15"/>
    <row r="789" ht="14.25" customHeight="1" x14ac:dyDescent="0.15"/>
    <row r="790" ht="14.25" customHeight="1" x14ac:dyDescent="0.15"/>
    <row r="791" ht="14.25" customHeight="1" x14ac:dyDescent="0.15"/>
    <row r="792" ht="14.25" customHeight="1" x14ac:dyDescent="0.15"/>
    <row r="793" ht="14.25" customHeight="1" x14ac:dyDescent="0.15"/>
    <row r="794" ht="14.25" customHeight="1" x14ac:dyDescent="0.15"/>
    <row r="795" ht="14.25" customHeight="1" x14ac:dyDescent="0.15"/>
    <row r="796" ht="14.25" customHeight="1" x14ac:dyDescent="0.15"/>
    <row r="797" ht="14.25" customHeight="1" x14ac:dyDescent="0.15"/>
    <row r="798" ht="14.25" customHeight="1" x14ac:dyDescent="0.15"/>
    <row r="799" ht="14.25" customHeight="1" x14ac:dyDescent="0.15"/>
    <row r="800" ht="14.25" customHeight="1" x14ac:dyDescent="0.15"/>
    <row r="801" ht="14.25" customHeight="1" x14ac:dyDescent="0.15"/>
    <row r="802" ht="14.25" customHeight="1" x14ac:dyDescent="0.15"/>
    <row r="803" ht="14.25" customHeight="1" x14ac:dyDescent="0.15"/>
    <row r="804" ht="14.25" customHeight="1" x14ac:dyDescent="0.15"/>
    <row r="805" ht="14.25" customHeight="1" x14ac:dyDescent="0.15"/>
    <row r="806" ht="14.25" customHeight="1" x14ac:dyDescent="0.15"/>
    <row r="807" ht="14.25" customHeight="1" x14ac:dyDescent="0.15"/>
    <row r="808" ht="14.25" customHeight="1" x14ac:dyDescent="0.15"/>
    <row r="809" ht="14.25" customHeight="1" x14ac:dyDescent="0.15"/>
    <row r="810" ht="14.25" customHeight="1" x14ac:dyDescent="0.15"/>
    <row r="811" ht="14.25" customHeight="1" x14ac:dyDescent="0.15"/>
    <row r="812" ht="14.25" customHeight="1" x14ac:dyDescent="0.15"/>
    <row r="813" ht="14.25" customHeight="1" x14ac:dyDescent="0.15"/>
    <row r="814" ht="14.25" customHeight="1" x14ac:dyDescent="0.15"/>
    <row r="815" ht="14.25" customHeight="1" x14ac:dyDescent="0.15"/>
    <row r="816" ht="14.25" customHeight="1" x14ac:dyDescent="0.15"/>
    <row r="817" ht="14.25" customHeight="1" x14ac:dyDescent="0.15"/>
    <row r="818" ht="14.25" customHeight="1" x14ac:dyDescent="0.15"/>
    <row r="819" ht="14.25" customHeight="1" x14ac:dyDescent="0.15"/>
    <row r="820" ht="14.25" customHeight="1" x14ac:dyDescent="0.15"/>
    <row r="821" ht="14.25" customHeight="1" x14ac:dyDescent="0.15"/>
    <row r="822" ht="14.25" customHeight="1" x14ac:dyDescent="0.15"/>
    <row r="823" ht="14.25" customHeight="1" x14ac:dyDescent="0.15"/>
    <row r="824" ht="14.25" customHeight="1" x14ac:dyDescent="0.15"/>
    <row r="825" ht="14.25" customHeight="1" x14ac:dyDescent="0.15"/>
    <row r="826" ht="14.25" customHeight="1" x14ac:dyDescent="0.15"/>
    <row r="827" ht="14.25" customHeight="1" x14ac:dyDescent="0.15"/>
    <row r="828" ht="14.25" customHeight="1" x14ac:dyDescent="0.15"/>
    <row r="829" ht="14.25" customHeight="1" x14ac:dyDescent="0.15"/>
    <row r="830" ht="14.25" customHeight="1" x14ac:dyDescent="0.15"/>
    <row r="831" ht="14.25" customHeight="1" x14ac:dyDescent="0.15"/>
    <row r="832" ht="14.25" customHeight="1" x14ac:dyDescent="0.15"/>
    <row r="833" ht="14.25" customHeight="1" x14ac:dyDescent="0.15"/>
    <row r="834" ht="14.25" customHeight="1" x14ac:dyDescent="0.15"/>
    <row r="835" ht="14.25" customHeight="1" x14ac:dyDescent="0.15"/>
    <row r="836" ht="14.25" customHeight="1" x14ac:dyDescent="0.15"/>
    <row r="837" ht="14.25" customHeight="1" x14ac:dyDescent="0.15"/>
    <row r="838" ht="14.25" customHeight="1" x14ac:dyDescent="0.15"/>
    <row r="839" ht="14.25" customHeight="1" x14ac:dyDescent="0.15"/>
    <row r="840" ht="14.25" customHeight="1" x14ac:dyDescent="0.15"/>
    <row r="841" ht="14.25" customHeight="1" x14ac:dyDescent="0.15"/>
    <row r="842" ht="14.25" customHeight="1" x14ac:dyDescent="0.15"/>
    <row r="843" ht="14.25" customHeight="1" x14ac:dyDescent="0.15"/>
    <row r="844" ht="14.25" customHeight="1" x14ac:dyDescent="0.15"/>
    <row r="845" ht="14.25" customHeight="1" x14ac:dyDescent="0.15"/>
    <row r="846" ht="14.25" customHeight="1" x14ac:dyDescent="0.15"/>
    <row r="847" ht="14.25" customHeight="1" x14ac:dyDescent="0.15"/>
    <row r="848" ht="14.25" customHeight="1" x14ac:dyDescent="0.15"/>
    <row r="849" ht="14.25" customHeight="1" x14ac:dyDescent="0.15"/>
    <row r="850" ht="14.25" customHeight="1" x14ac:dyDescent="0.15"/>
    <row r="851" ht="14.25" customHeight="1" x14ac:dyDescent="0.15"/>
    <row r="852" ht="14.25" customHeight="1" x14ac:dyDescent="0.15"/>
    <row r="853" ht="14.25" customHeight="1" x14ac:dyDescent="0.15"/>
    <row r="854" ht="14.25" customHeight="1" x14ac:dyDescent="0.15"/>
    <row r="855" ht="14.25" customHeight="1" x14ac:dyDescent="0.15"/>
    <row r="856" ht="14.25" customHeight="1" x14ac:dyDescent="0.15"/>
    <row r="857" ht="14.25" customHeight="1" x14ac:dyDescent="0.15"/>
    <row r="858" ht="14.25" customHeight="1" x14ac:dyDescent="0.15"/>
    <row r="859" ht="14.25" customHeight="1" x14ac:dyDescent="0.15"/>
    <row r="860" ht="14.25" customHeight="1" x14ac:dyDescent="0.15"/>
    <row r="861" ht="14.25" customHeight="1" x14ac:dyDescent="0.15"/>
    <row r="862" ht="14.25" customHeight="1" x14ac:dyDescent="0.15"/>
    <row r="863" ht="14.25" customHeight="1" x14ac:dyDescent="0.15"/>
    <row r="864" ht="14.25" customHeight="1" x14ac:dyDescent="0.15"/>
    <row r="865" ht="14.25" customHeight="1" x14ac:dyDescent="0.15"/>
    <row r="866" ht="14.25" customHeight="1" x14ac:dyDescent="0.15"/>
    <row r="867" ht="14.25" customHeight="1" x14ac:dyDescent="0.15"/>
    <row r="868" ht="14.25" customHeight="1" x14ac:dyDescent="0.15"/>
    <row r="869" ht="14.25" customHeight="1" x14ac:dyDescent="0.15"/>
    <row r="870" ht="14.25" customHeight="1" x14ac:dyDescent="0.15"/>
    <row r="871" ht="14.25" customHeight="1" x14ac:dyDescent="0.15"/>
    <row r="872" ht="14.25" customHeight="1" x14ac:dyDescent="0.15"/>
    <row r="873" ht="14.25" customHeight="1" x14ac:dyDescent="0.15"/>
    <row r="874" ht="14.25" customHeight="1" x14ac:dyDescent="0.15"/>
    <row r="875" ht="14.25" customHeight="1" x14ac:dyDescent="0.15"/>
    <row r="876" ht="14.25" customHeight="1" x14ac:dyDescent="0.15"/>
    <row r="877" ht="14.25" customHeight="1" x14ac:dyDescent="0.15"/>
    <row r="878" ht="14.25" customHeight="1" x14ac:dyDescent="0.15"/>
    <row r="879" ht="14.25" customHeight="1" x14ac:dyDescent="0.15"/>
    <row r="880" ht="14.25" customHeight="1" x14ac:dyDescent="0.15"/>
    <row r="881" ht="14.25" customHeight="1" x14ac:dyDescent="0.15"/>
    <row r="882" ht="14.25" customHeight="1" x14ac:dyDescent="0.15"/>
    <row r="883" ht="14.25" customHeight="1" x14ac:dyDescent="0.15"/>
    <row r="884" ht="14.25" customHeight="1" x14ac:dyDescent="0.15"/>
    <row r="885" ht="14.25" customHeight="1" x14ac:dyDescent="0.15"/>
    <row r="886" ht="14.25" customHeight="1" x14ac:dyDescent="0.15"/>
    <row r="887" ht="14.25" customHeight="1" x14ac:dyDescent="0.15"/>
    <row r="888" ht="14.25" customHeight="1" x14ac:dyDescent="0.15"/>
    <row r="889" ht="14.25" customHeight="1" x14ac:dyDescent="0.15"/>
    <row r="890" ht="14.25" customHeight="1" x14ac:dyDescent="0.15"/>
    <row r="891" ht="14.25" customHeight="1" x14ac:dyDescent="0.15"/>
    <row r="892" ht="14.25" customHeight="1" x14ac:dyDescent="0.15"/>
    <row r="893" ht="14.25" customHeight="1" x14ac:dyDescent="0.15"/>
    <row r="894" ht="14.25" customHeight="1" x14ac:dyDescent="0.15"/>
    <row r="895" ht="14.25" customHeight="1" x14ac:dyDescent="0.15"/>
    <row r="896" ht="14.25" customHeight="1" x14ac:dyDescent="0.15"/>
    <row r="897" ht="14.25" customHeight="1" x14ac:dyDescent="0.15"/>
    <row r="898" ht="14.25" customHeight="1" x14ac:dyDescent="0.15"/>
    <row r="899" ht="14.25" customHeight="1" x14ac:dyDescent="0.15"/>
    <row r="900" ht="14.25" customHeight="1" x14ac:dyDescent="0.15"/>
    <row r="901" ht="14.25" customHeight="1" x14ac:dyDescent="0.15"/>
    <row r="902" ht="14.25" customHeight="1" x14ac:dyDescent="0.15"/>
    <row r="903" ht="14.25" customHeight="1" x14ac:dyDescent="0.15"/>
    <row r="904" ht="14.25" customHeight="1" x14ac:dyDescent="0.15"/>
    <row r="905" ht="14.25" customHeight="1" x14ac:dyDescent="0.15"/>
    <row r="906" ht="14.25" customHeight="1" x14ac:dyDescent="0.15"/>
    <row r="907" ht="14.25" customHeight="1" x14ac:dyDescent="0.15"/>
    <row r="908" ht="14.25" customHeight="1" x14ac:dyDescent="0.15"/>
    <row r="909" ht="14.25" customHeight="1" x14ac:dyDescent="0.15"/>
    <row r="910" ht="14.25" customHeight="1" x14ac:dyDescent="0.15"/>
    <row r="911" ht="14.25" customHeight="1" x14ac:dyDescent="0.15"/>
    <row r="912" ht="14.25" customHeight="1" x14ac:dyDescent="0.15"/>
    <row r="913" ht="14.25" customHeight="1" x14ac:dyDescent="0.15"/>
    <row r="914" ht="14.25" customHeight="1" x14ac:dyDescent="0.15"/>
    <row r="915" ht="14.25" customHeight="1" x14ac:dyDescent="0.15"/>
    <row r="916" ht="14.25" customHeight="1" x14ac:dyDescent="0.15"/>
    <row r="917" ht="14.25" customHeight="1" x14ac:dyDescent="0.15"/>
    <row r="918" ht="14.25" customHeight="1" x14ac:dyDescent="0.15"/>
    <row r="919" ht="14.25" customHeight="1" x14ac:dyDescent="0.15"/>
    <row r="920" ht="14.25" customHeight="1" x14ac:dyDescent="0.15"/>
    <row r="921" ht="14.25" customHeight="1" x14ac:dyDescent="0.15"/>
    <row r="922" ht="14.25" customHeight="1" x14ac:dyDescent="0.15"/>
    <row r="923" ht="14.25" customHeight="1" x14ac:dyDescent="0.15"/>
    <row r="924" ht="14.25" customHeight="1" x14ac:dyDescent="0.15"/>
    <row r="925" ht="14.25" customHeight="1" x14ac:dyDescent="0.15"/>
    <row r="926" ht="14.25" customHeight="1" x14ac:dyDescent="0.15"/>
    <row r="927" ht="14.25" customHeight="1" x14ac:dyDescent="0.15"/>
    <row r="928" ht="14.25" customHeight="1" x14ac:dyDescent="0.15"/>
    <row r="929" ht="14.25" customHeight="1" x14ac:dyDescent="0.15"/>
    <row r="930" ht="14.25" customHeight="1" x14ac:dyDescent="0.15"/>
    <row r="931" ht="14.25" customHeight="1" x14ac:dyDescent="0.15"/>
    <row r="932" ht="14.25" customHeight="1" x14ac:dyDescent="0.15"/>
    <row r="933" ht="14.25" customHeight="1" x14ac:dyDescent="0.15"/>
    <row r="934" ht="14.25" customHeight="1" x14ac:dyDescent="0.15"/>
    <row r="935" ht="14.25" customHeight="1" x14ac:dyDescent="0.15"/>
    <row r="936" ht="14.25" customHeight="1" x14ac:dyDescent="0.15"/>
    <row r="937" ht="14.25" customHeight="1" x14ac:dyDescent="0.15"/>
    <row r="938" ht="14.25" customHeight="1" x14ac:dyDescent="0.15"/>
    <row r="939" ht="14.25" customHeight="1" x14ac:dyDescent="0.15"/>
    <row r="940" ht="14.25" customHeight="1" x14ac:dyDescent="0.15"/>
    <row r="941" ht="14.25" customHeight="1" x14ac:dyDescent="0.15"/>
    <row r="942" ht="14.25" customHeight="1" x14ac:dyDescent="0.15"/>
    <row r="943" ht="14.25" customHeight="1" x14ac:dyDescent="0.15"/>
    <row r="944" ht="14.25" customHeight="1" x14ac:dyDescent="0.15"/>
    <row r="945" ht="14.25" customHeight="1" x14ac:dyDescent="0.15"/>
    <row r="946" ht="14.25" customHeight="1" x14ac:dyDescent="0.15"/>
    <row r="947" ht="14.25" customHeight="1" x14ac:dyDescent="0.15"/>
    <row r="948" ht="14.25" customHeight="1" x14ac:dyDescent="0.15"/>
    <row r="949" ht="14.25" customHeight="1" x14ac:dyDescent="0.15"/>
    <row r="950" ht="14.25" customHeight="1" x14ac:dyDescent="0.15"/>
    <row r="951" ht="14.25" customHeight="1" x14ac:dyDescent="0.15"/>
    <row r="952" ht="14.25" customHeight="1" x14ac:dyDescent="0.15"/>
    <row r="953" ht="14.25" customHeight="1" x14ac:dyDescent="0.15"/>
    <row r="954" ht="14.25" customHeight="1" x14ac:dyDescent="0.15"/>
    <row r="955" ht="14.25" customHeight="1" x14ac:dyDescent="0.15"/>
    <row r="956" ht="14.25" customHeight="1" x14ac:dyDescent="0.15"/>
    <row r="957" ht="14.25" customHeight="1" x14ac:dyDescent="0.15"/>
    <row r="958" ht="14.25" customHeight="1" x14ac:dyDescent="0.15"/>
    <row r="959" ht="14.25" customHeight="1" x14ac:dyDescent="0.15"/>
    <row r="960" ht="14.25" customHeight="1" x14ac:dyDescent="0.15"/>
    <row r="961" ht="14.25" customHeight="1" x14ac:dyDescent="0.15"/>
    <row r="962" ht="14.25" customHeight="1" x14ac:dyDescent="0.15"/>
    <row r="963" ht="14.25" customHeight="1" x14ac:dyDescent="0.15"/>
    <row r="964" ht="14.25" customHeight="1" x14ac:dyDescent="0.15"/>
    <row r="965" ht="14.25" customHeight="1" x14ac:dyDescent="0.15"/>
    <row r="966" ht="14.25" customHeight="1" x14ac:dyDescent="0.15"/>
    <row r="967" ht="14.25" customHeight="1" x14ac:dyDescent="0.15"/>
    <row r="968" ht="14.25" customHeight="1" x14ac:dyDescent="0.15"/>
    <row r="969" ht="14.25" customHeight="1" x14ac:dyDescent="0.15"/>
    <row r="970" ht="14.25" customHeight="1" x14ac:dyDescent="0.15"/>
    <row r="971" ht="14.25" customHeight="1" x14ac:dyDescent="0.15"/>
    <row r="972" ht="14.25" customHeight="1" x14ac:dyDescent="0.15"/>
    <row r="973" ht="14.25" customHeight="1" x14ac:dyDescent="0.15"/>
    <row r="974" ht="14.25" customHeight="1" x14ac:dyDescent="0.15"/>
    <row r="975" ht="14.25" customHeight="1" x14ac:dyDescent="0.15"/>
    <row r="976" ht="14.25" customHeight="1" x14ac:dyDescent="0.15"/>
    <row r="977" ht="14.25" customHeight="1" x14ac:dyDescent="0.15"/>
    <row r="978" ht="14.25" customHeight="1" x14ac:dyDescent="0.15"/>
    <row r="979" ht="14.25" customHeight="1" x14ac:dyDescent="0.15"/>
    <row r="980" ht="14.25" customHeight="1" x14ac:dyDescent="0.15"/>
    <row r="981" ht="14.25" customHeight="1" x14ac:dyDescent="0.15"/>
    <row r="982" ht="14.25" customHeight="1" x14ac:dyDescent="0.15"/>
    <row r="983" ht="14.25" customHeight="1" x14ac:dyDescent="0.15"/>
    <row r="984" ht="14.25" customHeight="1" x14ac:dyDescent="0.15"/>
    <row r="985" ht="14.25" customHeight="1" x14ac:dyDescent="0.15"/>
    <row r="986" ht="14.25" customHeight="1" x14ac:dyDescent="0.15"/>
    <row r="987" ht="14.25" customHeight="1" x14ac:dyDescent="0.15"/>
    <row r="988" ht="14.25" customHeight="1" x14ac:dyDescent="0.15"/>
    <row r="989" ht="14.25" customHeight="1" x14ac:dyDescent="0.15"/>
    <row r="990" ht="14.25" customHeight="1" x14ac:dyDescent="0.15"/>
    <row r="991" ht="14.25" customHeight="1" x14ac:dyDescent="0.15"/>
    <row r="992" ht="14.25" customHeight="1" x14ac:dyDescent="0.15"/>
    <row r="993" ht="14.25" customHeight="1" x14ac:dyDescent="0.15"/>
    <row r="994" ht="14.25" customHeight="1" x14ac:dyDescent="0.15"/>
    <row r="995" ht="14.25" customHeight="1" x14ac:dyDescent="0.15"/>
    <row r="996" ht="14.25" customHeight="1" x14ac:dyDescent="0.15"/>
    <row r="997" ht="14.25" customHeight="1" x14ac:dyDescent="0.15"/>
    <row r="998" ht="14.25" customHeight="1" x14ac:dyDescent="0.15"/>
    <row r="999" ht="14.25" customHeight="1" x14ac:dyDescent="0.15"/>
    <row r="1000" ht="14.25" customHeight="1" x14ac:dyDescent="0.15"/>
    <row r="1001" ht="14.25" customHeight="1" x14ac:dyDescent="0.15"/>
    <row r="1002" ht="14.25" customHeight="1" x14ac:dyDescent="0.15"/>
    <row r="1003" ht="14.25" customHeight="1" x14ac:dyDescent="0.15"/>
  </sheetData>
  <autoFilter ref="A13:R36" xr:uid="{00000000-0001-0000-0100-000000000000}">
    <sortState xmlns:xlrd2="http://schemas.microsoft.com/office/spreadsheetml/2017/richdata2" ref="A14:R36">
      <sortCondition descending="1" ref="R13:R36"/>
    </sortState>
  </autoFilter>
  <mergeCells count="6">
    <mergeCell ref="N12:R12"/>
    <mergeCell ref="A2:M2"/>
    <mergeCell ref="A12:F12"/>
    <mergeCell ref="G12:I12"/>
    <mergeCell ref="J12:K12"/>
    <mergeCell ref="L12:M12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Requirements_Catalog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Liz Waterman</dc:creator>
  <cp:lastModifiedBy>chitrangi doshi</cp:lastModifiedBy>
  <dcterms:created xsi:type="dcterms:W3CDTF">2024-05-21T15:59:16Z</dcterms:created>
  <dcterms:modified xsi:type="dcterms:W3CDTF">2026-04-01T20:47:48Z</dcterms:modified>
</cp:coreProperties>
</file>