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itrangidoshi/Documents/Buisness Analyst/Case Study/Tiimo/Requirement Analysis/"/>
    </mc:Choice>
  </mc:AlternateContent>
  <xr:revisionPtr revIDLastSave="0" documentId="13_ncr:1_{5AE043B5-FA6B-1A42-A628-1D71820E8C3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quirements_Catalog" sheetId="2" r:id="rId1"/>
  </sheets>
  <definedNames>
    <definedName name="_xlnm._FilterDatabase" localSheetId="0" hidden="1">Requirements_Catalog!$A$13:$R$36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2" l="1"/>
  <c r="R25" i="2"/>
  <c r="R36" i="2"/>
  <c r="R27" i="2"/>
  <c r="R24" i="2"/>
  <c r="R26" i="2"/>
  <c r="R17" i="2"/>
  <c r="R33" i="2"/>
  <c r="R34" i="2"/>
  <c r="R14" i="2"/>
  <c r="R15" i="2"/>
  <c r="R21" i="2"/>
  <c r="R28" i="2"/>
  <c r="R32" i="2"/>
  <c r="R29" i="2"/>
  <c r="R31" i="2"/>
  <c r="R19" i="2"/>
  <c r="R22" i="2"/>
  <c r="R16" i="2"/>
  <c r="R18" i="2"/>
  <c r="R23" i="2"/>
  <c r="R20" i="2"/>
  <c r="R30" i="2"/>
</calcChain>
</file>

<file path=xl/sharedStrings.xml><?xml version="1.0" encoding="utf-8"?>
<sst xmlns="http://schemas.openxmlformats.org/spreadsheetml/2006/main" count="297" uniqueCount="187">
  <si>
    <t>REQUIREMENT</t>
  </si>
  <si>
    <t>ID</t>
  </si>
  <si>
    <t>Project ID</t>
  </si>
  <si>
    <t>Project Name</t>
  </si>
  <si>
    <t>PEOPLE</t>
  </si>
  <si>
    <t>Project Manager</t>
  </si>
  <si>
    <t>Date Initiated</t>
  </si>
  <si>
    <t>Date last updated</t>
  </si>
  <si>
    <t>RELATED</t>
  </si>
  <si>
    <t>STATUS</t>
  </si>
  <si>
    <t>Catalog Owner</t>
  </si>
  <si>
    <t>NAME</t>
  </si>
  <si>
    <t>DESC</t>
  </si>
  <si>
    <t>TYPE</t>
  </si>
  <si>
    <t>ACCEPTANCE CRITERIA</t>
  </si>
  <si>
    <t>OWNER</t>
  </si>
  <si>
    <t>AUTHOR</t>
  </si>
  <si>
    <t>STAKEHOLDERS</t>
  </si>
  <si>
    <t>DOCS</t>
  </si>
  <si>
    <t>VERSION</t>
  </si>
  <si>
    <t>RESOLUTION</t>
  </si>
  <si>
    <t>REQUIREMENTS</t>
  </si>
  <si>
    <t>TIIMO-001</t>
  </si>
  <si>
    <t>CHITRANGI</t>
  </si>
  <si>
    <t>ROUTINES MVP CHURN REDUCTION</t>
  </si>
  <si>
    <t>PRIORITY</t>
  </si>
  <si>
    <t>REACH</t>
  </si>
  <si>
    <t>IMPACT (1-10)</t>
  </si>
  <si>
    <t>CONFIDENCE (0-1)</t>
  </si>
  <si>
    <t>EFFORT</t>
  </si>
  <si>
    <t>RICE SCORE</t>
  </si>
  <si>
    <t>PRIORITIZATION &amp; METRICS</t>
  </si>
  <si>
    <t>BR-01</t>
  </si>
  <si>
    <t>Churn Reduction ARR</t>
  </si>
  <si>
    <t>Business</t>
  </si>
  <si>
    <t>Must</t>
  </si>
  <si>
    <t>Executive</t>
  </si>
  <si>
    <t>BA</t>
  </si>
  <si>
    <t>Proposed</t>
  </si>
  <si>
    <t>BR-02</t>
  </si>
  <si>
    <t>Adoption KPI</t>
  </si>
  <si>
    <t>Should</t>
  </si>
  <si>
    <t>Product Manager</t>
  </si>
  <si>
    <t>SR-01</t>
  </si>
  <si>
    <t>ADHD Timed Flow</t>
  </si>
  <si>
    <t>ADHD users need reusable routines w/ timed subtasks for time-blind flow</t>
  </si>
  <si>
    <t>Stakeholder</t>
  </si>
  <si>
    <t>FR-01 FR-02</t>
  </si>
  <si>
    <t>SR-02</t>
  </si>
  <si>
    <t>Product needs Routines MVP delivered in 4 sprints</t>
  </si>
  <si>
    <t>Product</t>
  </si>
  <si>
    <t>FR-01 to FR-07</t>
  </si>
  <si>
    <t>Approved</t>
  </si>
  <si>
    <t>SR-03</t>
  </si>
  <si>
    <t>Design Lead</t>
  </si>
  <si>
    <t>NFR-01 NFR-03</t>
  </si>
  <si>
    <t>SR-04</t>
  </si>
  <si>
    <t>Dev Timer Refactor</t>
  </si>
  <si>
    <t>Dev Lead</t>
  </si>
  <si>
    <t>FR-02 NFR-02</t>
  </si>
  <si>
    <t>SR-05</t>
  </si>
  <si>
    <t>Design Tradeoffs</t>
  </si>
  <si>
    <t>Design needs 5-subtask max simplified flows</t>
  </si>
  <si>
    <t>FR-01</t>
  </si>
  <si>
    <t>SR-06</t>
  </si>
  <si>
    <t>Product Roadmap</t>
  </si>
  <si>
    <t>SR-07</t>
  </si>
  <si>
    <t>Exec Budget</t>
  </si>
  <si>
    <t>Execs need Q1 $50k budget for MVP</t>
  </si>
  <si>
    <t>SR-08</t>
  </si>
  <si>
    <t>Analytics Alignment</t>
  </si>
  <si>
    <t>Analytics needs 85% VOC-internal churn match</t>
  </si>
  <si>
    <t>Routine Creation</t>
  </si>
  <si>
    <t>Users create routine w/ 5+ subtasks durations</t>
  </si>
  <si>
    <t>Functional</t>
  </si>
  <si>
    <t>FR-02</t>
  </si>
  <si>
    <t>Visual Timer</t>
  </si>
  <si>
    <t>Visual countdown per subtask auto-advance</t>
  </si>
  <si>
    <t>SR-01 NFR-02</t>
  </si>
  <si>
    <t>FR-03</t>
  </si>
  <si>
    <t>Save Deploy Library</t>
  </si>
  <si>
    <t>Save routine library one-tap deploy to day</t>
  </si>
  <si>
    <t>FR-04</t>
  </si>
  <si>
    <t>BPMN To-Be</t>
  </si>
  <si>
    <t>Server Expansion</t>
  </si>
  <si>
    <t>FR-03 FR-06</t>
  </si>
  <si>
    <t>FR-05</t>
  </si>
  <si>
    <t>Calendar Sync</t>
  </si>
  <si>
    <t>Bi-directional sync routines to external calendars</t>
  </si>
  <si>
    <t>FR-07</t>
  </si>
  <si>
    <t>VOC calendar complaints</t>
  </si>
  <si>
    <t>FR-06</t>
  </si>
  <si>
    <t>Conflict Check</t>
  </si>
  <si>
    <t>Check overlaps conflicts before routine deploy</t>
  </si>
  <si>
    <t>Could</t>
  </si>
  <si>
    <t>NFR-01</t>
  </si>
  <si>
    <t>Non-Functional</t>
  </si>
  <si>
    <t>NFR-02</t>
  </si>
  <si>
    <t>99% Crash-Free</t>
  </si>
  <si>
    <t>99% reliability no crashes during expansion timer</t>
  </si>
  <si>
    <t>FR-04 FR-06</t>
  </si>
  <si>
    <t>VOC crash cluster</t>
  </si>
  <si>
    <t>NFR-03</t>
  </si>
  <si>
    <t>WCAG AA Accessible</t>
  </si>
  <si>
    <t>Kano Delight</t>
  </si>
  <si>
    <t>TR-01</t>
  </si>
  <si>
    <t>Transition</t>
  </si>
  <si>
    <t>TR-02</t>
  </si>
  <si>
    <t>Onboarding Video</t>
  </si>
  <si>
    <t>3-min video tutorial for routine setup flow</t>
  </si>
  <si>
    <t>Design SR-03</t>
  </si>
  <si>
    <t>Adoption &gt;70, Rating &gt;4.5, ARR scenario met</t>
  </si>
  <si>
    <t>Routines usage 70%, App rating uplift 0.5 pts</t>
  </si>
  <si>
    <t>Nightly batch 14 days, Deltas to clients</t>
  </si>
  <si>
    <t>Import conflicts resolve, Retain imports</t>
  </si>
  <si>
    <t>Sprint 1: Core create, Sprint 4: Calendar deploy</t>
  </si>
  <si>
    <t>Simplified nav, AI suggest routines</t>
  </si>
  <si>
    <t>Reuse existing timer, No new crashes</t>
  </si>
  <si>
    <t>Max 5 subtasks, Visual hierarchy</t>
  </si>
  <si>
    <t>Post-AI roadmap slot, ARR threshold met</t>
  </si>
  <si>
    <t>Add 5 subtasks w/durations, Save validate</t>
  </si>
  <si>
    <t>Bulk insert safe, Progress indicator</t>
  </si>
  <si>
    <t>Visual warnings, Auto-resolve simple</t>
  </si>
  <si>
    <t>OOM &lt;1%, Repeat stable</t>
  </si>
  <si>
    <t>AA compliant, Time-blind friendly</t>
  </si>
  <si>
    <t>ADHD-friendly paced, 80% completion rate</t>
  </si>
  <si>
    <t>Assumptions-Limitations-Log : ROI scenarios</t>
  </si>
  <si>
    <t>Elicitation Results Log</t>
  </si>
  <si>
    <t>Visual countdown per subtask, Timer Auto-advance, 80% routine completion rate</t>
  </si>
  <si>
    <t>Design needs neuroinclusive UX integration without clutter</t>
  </si>
  <si>
    <t>Design Lead, Design Team, Neurodivergent Users, Product Managers</t>
  </si>
  <si>
    <t>Development Lead, Development Team, QA/ Testing Team, Product Managers</t>
  </si>
  <si>
    <t>Product Managers, Executive Management, Development Lead, Design Lead</t>
  </si>
  <si>
    <t>Data Analytics Team, Product Managers, Executive Management</t>
  </si>
  <si>
    <t>Neurodivergent Users, Regular Users, Product Managers, Development Lead, Development Team, Design Lead, Design Team, QA/ Testing Team, Support Team</t>
  </si>
  <si>
    <t>Neurodivergent Users, Product Managers, Development Lead, Development Team, Design Lead, Design Team, QA/ Testing Team, Support Team</t>
  </si>
  <si>
    <t>Development Lead, Development Team, QA/ Testing Team, Product Managers, Data Analytics Team, Apple App Store Team</t>
  </si>
  <si>
    <t>Neurodivergent Users, Product Managers, Development Lead, Development Team, QA/ Testing Team, Support Team</t>
  </si>
  <si>
    <t>Neurodivergent Users, Regular Users, Product Managers, Development Lead, Development Team, Support Team</t>
  </si>
  <si>
    <t>Neurodivergent Users, Product Managers, Development Lead, Development Team, QA/ Testing Team, Support Team, Review Platforms</t>
  </si>
  <si>
    <t>Neurodivergent Users, Product Managers, Design Lead, Design Team, QA/ Testing Team, Apple App Store Team</t>
  </si>
  <si>
    <t>Neurodivergent Users, Regular Users, Product Managers, Design Lead, Design Team, Support Team, Influencers, Review Platforms</t>
  </si>
  <si>
    <t>Neurodivergent Users</t>
  </si>
  <si>
    <t>Development Lead</t>
  </si>
  <si>
    <t>Executive Management</t>
  </si>
  <si>
    <t>Data Analytics Team</t>
  </si>
  <si>
    <t>Product Managers, Executive Management</t>
  </si>
  <si>
    <t>Achieve 70% Routines adoption, rating &gt;4.5 post-MVP</t>
  </si>
  <si>
    <t>Reduce iPhone churn 20% via Routines MVP</t>
  </si>
  <si>
    <t>Product Managers, Data Analytics Team</t>
  </si>
  <si>
    <t>Neurodivergent Users, Product Managers, Development Lead, Design Lead, QA/ Testing Team</t>
  </si>
  <si>
    <t>MVP Delivery</t>
  </si>
  <si>
    <t>Product Managers, Development Lead, Development Team, Design Lead, Design Team, QA/ Testing Team</t>
  </si>
  <si>
    <t>NeuroInclusive Design Integration</t>
  </si>
  <si>
    <t>Wireframes files</t>
  </si>
  <si>
    <t>Tech spike file</t>
  </si>
  <si>
    <t>Persona updates file</t>
  </si>
  <si>
    <t>Roadmap matrix file</t>
  </si>
  <si>
    <t>Dev, Design, QA, resources, Phase 2 approved</t>
  </si>
  <si>
    <t>Executive Management, Product Managers</t>
  </si>
  <si>
    <t>Budget approval file</t>
  </si>
  <si>
    <t>Cohort data vs VOC 22%</t>
  </si>
  <si>
    <t>Churn correlation file</t>
  </si>
  <si>
    <t>BPMN file</t>
  </si>
  <si>
    <t>Timer shows remaining time left in suubtakss, 80% completion rate</t>
  </si>
  <si>
    <t>Library persistent, Deploy server deltas</t>
  </si>
  <si>
    <t>Server-side repeat expansion for routines without client crashes</t>
  </si>
  <si>
    <t>Batch Add Routine Tasks</t>
  </si>
  <si>
    <t>Batch add routine tasks without crash during repeats</t>
  </si>
  <si>
    <t>Neurodivergent Users, Regular Users, Product Managers, Development Lead, Development Team, Design Lead, Design Team, Q/A / Testing Team</t>
  </si>
  <si>
    <t>Routine Creation Time</t>
  </si>
  <si>
    <t>Complete routine (5 subtasks) creation in less than 2min end-to-end.</t>
  </si>
  <si>
    <t>Routine (5 subtasks) creation less than 2min average, less than 3min in 95th percetile during benchmark testing</t>
  </si>
  <si>
    <t>Neurodivergent Users, Regular Users, Product Managers, Development Lead, Development Team, QA/ Testing Team</t>
  </si>
  <si>
    <t>Screen Load Performance</t>
  </si>
  <si>
    <t>Screens load in less than 2s (95th percentile).</t>
  </si>
  <si>
    <t>Routine screens load in less than 2s in 95th percentile, no timeouts.</t>
  </si>
  <si>
    <t>ROUTINES MVP - TIIMO IPHONE CHURN REDUCTION : REQUIREMENTS CATALOG</t>
  </si>
  <si>
    <t>NFR-04</t>
  </si>
  <si>
    <t>Timers colors high-contrast neuroinclusive, WCAG AA compliant</t>
  </si>
  <si>
    <t>Dev Lead, Q/A Testing Team</t>
  </si>
  <si>
    <t>Neurodivergent Users, Regular Users, Product Managers, Development Lead, Development Team, QA Testing Team, Support Team</t>
  </si>
  <si>
    <t>Routines User FAQ</t>
  </si>
  <si>
    <t>Publish FAQ explaining Routines vs Plans + common issues.</t>
  </si>
  <si>
    <t>faq's in the app and website, train support team</t>
  </si>
  <si>
    <t>Product needs Routines fit post-AI, more than $75k ROI</t>
  </si>
  <si>
    <t>Dev needs reusable timer engine for 4 sprint 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</si>
</sst>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8" x14ac:knownFonts="1">
    <font>
      <sz val="11"/>
      <color theme="1"/>
      <name val="Aptos narrow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2AFFF"/>
        <bgColor rgb="FFBFBFBF"/>
      </patternFill>
    </fill>
    <fill>
      <patternFill patternType="solid">
        <fgColor rgb="FFD2AFFF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4" borderId="3" xfId="0" applyFont="1" applyFill="1" applyBorder="1" applyAlignment="1">
      <alignment vertical="center" wrapText="1"/>
    </xf>
    <xf numFmtId="14" fontId="4" fillId="0" borderId="3" xfId="0" applyNumberFormat="1" applyFont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6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wrapText="1"/>
    </xf>
    <xf numFmtId="166" fontId="4" fillId="0" borderId="3" xfId="0" applyNumberFormat="1" applyFont="1" applyBorder="1" applyAlignment="1">
      <alignment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3"/>
  <sheetViews>
    <sheetView tabSelected="1" zoomScale="90" zoomScaleNormal="90" workbookViewId="0">
      <selection activeCell="S15" sqref="S15"/>
    </sheetView>
  </sheetViews>
  <sheetFormatPr baseColWidth="10" defaultColWidth="12.6640625" defaultRowHeight="15" customHeight="1" x14ac:dyDescent="0.15"/>
  <cols>
    <col min="1" max="2" width="30.83203125" style="1" customWidth="1"/>
    <col min="3" max="3" width="47" style="1" customWidth="1"/>
    <col min="4" max="5" width="30.83203125" style="1" customWidth="1"/>
    <col min="6" max="6" width="50.1640625" style="1" customWidth="1"/>
    <col min="7" max="8" width="30.83203125" style="1" customWidth="1"/>
    <col min="9" max="9" width="61.6640625" style="1" customWidth="1"/>
    <col min="10" max="18" width="30.83203125" style="1" customWidth="1"/>
    <col min="19" max="22" width="47.83203125" style="1" customWidth="1"/>
    <col min="23" max="16384" width="12.6640625" style="1"/>
  </cols>
  <sheetData>
    <row r="1" spans="1:18" ht="14.25" customHeight="1" x14ac:dyDescent="0.15"/>
    <row r="2" spans="1:18" ht="35.25" customHeight="1" x14ac:dyDescent="0.15">
      <c r="A2" s="18" t="s">
        <v>177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8" ht="14.25" customHeight="1" thickBo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8" ht="50" customHeight="1" thickBot="1" x14ac:dyDescent="0.2">
      <c r="B4" s="3" t="s">
        <v>2</v>
      </c>
      <c r="C4" s="4" t="s">
        <v>5</v>
      </c>
      <c r="D4" s="5" t="s">
        <v>6</v>
      </c>
    </row>
    <row r="5" spans="1:18" ht="30" customHeight="1" thickBot="1" x14ac:dyDescent="0.2">
      <c r="B5" s="6" t="s">
        <v>22</v>
      </c>
      <c r="C5" s="7" t="s">
        <v>23</v>
      </c>
      <c r="D5" s="14">
        <v>46037</v>
      </c>
    </row>
    <row r="6" spans="1:18" ht="50" customHeight="1" thickBot="1" x14ac:dyDescent="0.2">
      <c r="B6" s="8" t="s">
        <v>3</v>
      </c>
      <c r="C6" s="9" t="s">
        <v>10</v>
      </c>
      <c r="D6" s="10" t="s">
        <v>7</v>
      </c>
    </row>
    <row r="7" spans="1:18" ht="30" customHeight="1" thickBot="1" x14ac:dyDescent="0.2">
      <c r="B7" s="6" t="s">
        <v>24</v>
      </c>
      <c r="C7" s="7" t="s">
        <v>23</v>
      </c>
      <c r="D7" s="14">
        <v>46094</v>
      </c>
    </row>
    <row r="8" spans="1:18" ht="30" customHeight="1" x14ac:dyDescent="0.15">
      <c r="B8" s="11"/>
      <c r="C8" s="11"/>
      <c r="D8" s="11"/>
    </row>
    <row r="9" spans="1:18" ht="30" customHeight="1" x14ac:dyDescent="0.15">
      <c r="B9" s="11"/>
      <c r="C9" s="11"/>
      <c r="D9" s="11"/>
    </row>
    <row r="10" spans="1:18" ht="30" customHeight="1" x14ac:dyDescent="0.15">
      <c r="B10" s="11"/>
      <c r="C10" s="11"/>
      <c r="D10" s="11"/>
    </row>
    <row r="11" spans="1:18" ht="30" customHeight="1" thickBot="1" x14ac:dyDescent="0.2">
      <c r="A11" s="12"/>
    </row>
    <row r="12" spans="1:18" ht="50" customHeight="1" thickBot="1" x14ac:dyDescent="0.25">
      <c r="A12" s="20" t="s">
        <v>0</v>
      </c>
      <c r="B12" s="21"/>
      <c r="C12" s="21"/>
      <c r="D12" s="21"/>
      <c r="E12" s="21"/>
      <c r="F12" s="21"/>
      <c r="G12" s="22" t="s">
        <v>4</v>
      </c>
      <c r="H12" s="23"/>
      <c r="I12" s="24"/>
      <c r="J12" s="20" t="s">
        <v>8</v>
      </c>
      <c r="K12" s="25"/>
      <c r="L12" s="20" t="s">
        <v>9</v>
      </c>
      <c r="M12" s="25"/>
      <c r="N12" s="27" t="s">
        <v>31</v>
      </c>
      <c r="O12" s="28"/>
      <c r="P12" s="28"/>
      <c r="Q12" s="28"/>
      <c r="R12" s="29"/>
    </row>
    <row r="13" spans="1:18" ht="50" customHeight="1" thickBot="1" x14ac:dyDescent="0.2">
      <c r="A13" s="15" t="s">
        <v>1</v>
      </c>
      <c r="B13" s="15" t="s">
        <v>11</v>
      </c>
      <c r="C13" s="15" t="s">
        <v>12</v>
      </c>
      <c r="D13" s="15" t="s">
        <v>13</v>
      </c>
      <c r="E13" s="15" t="s">
        <v>25</v>
      </c>
      <c r="F13" s="15" t="s">
        <v>14</v>
      </c>
      <c r="G13" s="15" t="s">
        <v>15</v>
      </c>
      <c r="H13" s="15" t="s">
        <v>16</v>
      </c>
      <c r="I13" s="15" t="s">
        <v>17</v>
      </c>
      <c r="J13" s="15" t="s">
        <v>21</v>
      </c>
      <c r="K13" s="15" t="s">
        <v>18</v>
      </c>
      <c r="L13" s="15" t="s">
        <v>20</v>
      </c>
      <c r="M13" s="15" t="s">
        <v>19</v>
      </c>
      <c r="N13" s="13" t="s">
        <v>26</v>
      </c>
      <c r="O13" s="13" t="s">
        <v>27</v>
      </c>
      <c r="P13" s="13" t="s">
        <v>28</v>
      </c>
      <c r="Q13" s="13" t="s">
        <v>29</v>
      </c>
      <c r="R13" s="17" t="s">
        <v>30</v>
      </c>
    </row>
    <row r="14" spans="1:18" ht="50" customHeight="1" thickBot="1" x14ac:dyDescent="0.25">
      <c r="A14" s="16" t="s">
        <v>63</v>
      </c>
      <c r="B14" s="16" t="s">
        <v>72</v>
      </c>
      <c r="C14" s="16" t="s">
        <v>73</v>
      </c>
      <c r="D14" s="16" t="s">
        <v>74</v>
      </c>
      <c r="E14" s="16" t="s">
        <v>41</v>
      </c>
      <c r="F14" s="16" t="s">
        <v>120</v>
      </c>
      <c r="G14" s="16" t="s">
        <v>50</v>
      </c>
      <c r="H14" s="16" t="s">
        <v>37</v>
      </c>
      <c r="I14" s="16" t="s">
        <v>134</v>
      </c>
      <c r="J14" s="16" t="s">
        <v>43</v>
      </c>
      <c r="K14" s="16" t="s">
        <v>163</v>
      </c>
      <c r="L14" s="16" t="s">
        <v>38</v>
      </c>
      <c r="M14" s="16">
        <v>1</v>
      </c>
      <c r="N14" s="26">
        <v>10</v>
      </c>
      <c r="O14" s="26">
        <v>10</v>
      </c>
      <c r="P14" s="26">
        <v>0.9</v>
      </c>
      <c r="Q14" s="26">
        <v>1.5</v>
      </c>
      <c r="R14" s="26">
        <f>(N14*O14*P14)/Q14</f>
        <v>60</v>
      </c>
    </row>
    <row r="15" spans="1:18" ht="50" customHeight="1" thickBot="1" x14ac:dyDescent="0.25">
      <c r="A15" s="16" t="s">
        <v>75</v>
      </c>
      <c r="B15" s="16" t="s">
        <v>76</v>
      </c>
      <c r="C15" s="16" t="s">
        <v>77</v>
      </c>
      <c r="D15" s="16" t="s">
        <v>74</v>
      </c>
      <c r="E15" s="16" t="s">
        <v>35</v>
      </c>
      <c r="F15" s="16" t="s">
        <v>164</v>
      </c>
      <c r="G15" s="16" t="s">
        <v>58</v>
      </c>
      <c r="H15" s="16" t="s">
        <v>37</v>
      </c>
      <c r="I15" s="16" t="s">
        <v>135</v>
      </c>
      <c r="J15" s="16" t="s">
        <v>78</v>
      </c>
      <c r="K15" s="16"/>
      <c r="L15" s="16" t="s">
        <v>38</v>
      </c>
      <c r="M15" s="16">
        <v>1</v>
      </c>
      <c r="N15" s="26">
        <v>10</v>
      </c>
      <c r="O15" s="26">
        <v>10</v>
      </c>
      <c r="P15" s="26">
        <v>0.9</v>
      </c>
      <c r="Q15" s="26">
        <v>1.5</v>
      </c>
      <c r="R15" s="26">
        <f>(N15*O15*P15)/Q15</f>
        <v>60</v>
      </c>
    </row>
    <row r="16" spans="1:18" ht="50" customHeight="1" thickBot="1" x14ac:dyDescent="0.25">
      <c r="A16" s="16" t="s">
        <v>102</v>
      </c>
      <c r="B16" s="16" t="s">
        <v>98</v>
      </c>
      <c r="C16" s="16" t="s">
        <v>99</v>
      </c>
      <c r="D16" s="16" t="s">
        <v>96</v>
      </c>
      <c r="E16" s="16" t="s">
        <v>35</v>
      </c>
      <c r="F16" s="16" t="s">
        <v>123</v>
      </c>
      <c r="G16" s="16" t="s">
        <v>180</v>
      </c>
      <c r="H16" s="16" t="s">
        <v>37</v>
      </c>
      <c r="I16" s="16" t="s">
        <v>139</v>
      </c>
      <c r="J16" s="16" t="s">
        <v>100</v>
      </c>
      <c r="K16" s="16" t="s">
        <v>101</v>
      </c>
      <c r="L16" s="16" t="s">
        <v>38</v>
      </c>
      <c r="M16" s="16">
        <v>1</v>
      </c>
      <c r="N16" s="26">
        <v>10</v>
      </c>
      <c r="O16" s="26">
        <v>10</v>
      </c>
      <c r="P16" s="26">
        <v>0.9</v>
      </c>
      <c r="Q16" s="26">
        <v>1.5</v>
      </c>
      <c r="R16" s="26">
        <f>(N16*O16*P16)/Q16</f>
        <v>60</v>
      </c>
    </row>
    <row r="17" spans="1:18" ht="50" customHeight="1" thickBot="1" x14ac:dyDescent="0.25">
      <c r="A17" s="16" t="s">
        <v>64</v>
      </c>
      <c r="B17" s="16" t="s">
        <v>65</v>
      </c>
      <c r="C17" s="16" t="s">
        <v>185</v>
      </c>
      <c r="D17" s="16" t="s">
        <v>46</v>
      </c>
      <c r="E17" s="16" t="s">
        <v>35</v>
      </c>
      <c r="F17" s="16" t="s">
        <v>119</v>
      </c>
      <c r="G17" s="16" t="s">
        <v>42</v>
      </c>
      <c r="H17" s="16" t="s">
        <v>42</v>
      </c>
      <c r="I17" s="16" t="s">
        <v>132</v>
      </c>
      <c r="J17" s="16"/>
      <c r="K17" s="16" t="s">
        <v>157</v>
      </c>
      <c r="L17" s="16" t="s">
        <v>52</v>
      </c>
      <c r="M17" s="16">
        <v>1</v>
      </c>
      <c r="N17" s="26">
        <v>9</v>
      </c>
      <c r="O17" s="26">
        <v>8</v>
      </c>
      <c r="P17" s="26">
        <v>0.8</v>
      </c>
      <c r="Q17" s="26">
        <v>1</v>
      </c>
      <c r="R17" s="26">
        <f>(N17*O17*P17)/Q17</f>
        <v>57.6</v>
      </c>
    </row>
    <row r="18" spans="1:18" ht="50" customHeight="1" thickBot="1" x14ac:dyDescent="0.25">
      <c r="A18" s="16" t="s">
        <v>178</v>
      </c>
      <c r="B18" s="16" t="s">
        <v>103</v>
      </c>
      <c r="C18" s="16" t="s">
        <v>179</v>
      </c>
      <c r="D18" s="16" t="s">
        <v>96</v>
      </c>
      <c r="E18" s="16" t="s">
        <v>41</v>
      </c>
      <c r="F18" s="16" t="s">
        <v>124</v>
      </c>
      <c r="G18" s="16" t="s">
        <v>54</v>
      </c>
      <c r="H18" s="16" t="s">
        <v>37</v>
      </c>
      <c r="I18" s="16" t="s">
        <v>140</v>
      </c>
      <c r="J18" s="16" t="s">
        <v>75</v>
      </c>
      <c r="K18" s="16" t="s">
        <v>104</v>
      </c>
      <c r="L18" s="16" t="s">
        <v>38</v>
      </c>
      <c r="M18" s="16">
        <v>1</v>
      </c>
      <c r="N18" s="26">
        <v>9</v>
      </c>
      <c r="O18" s="26">
        <v>8</v>
      </c>
      <c r="P18" s="26">
        <v>0.8</v>
      </c>
      <c r="Q18" s="26">
        <v>1</v>
      </c>
      <c r="R18" s="26">
        <f>(N18*O18*P18)/Q18</f>
        <v>57.6</v>
      </c>
    </row>
    <row r="19" spans="1:18" ht="50" customHeight="1" thickBot="1" x14ac:dyDescent="0.25">
      <c r="A19" s="16" t="s">
        <v>95</v>
      </c>
      <c r="B19" s="16" t="s">
        <v>170</v>
      </c>
      <c r="C19" s="16" t="s">
        <v>171</v>
      </c>
      <c r="D19" s="16" t="s">
        <v>96</v>
      </c>
      <c r="E19" s="16" t="s">
        <v>35</v>
      </c>
      <c r="F19" s="16" t="s">
        <v>172</v>
      </c>
      <c r="G19" s="16" t="s">
        <v>58</v>
      </c>
      <c r="H19" s="16" t="s">
        <v>37</v>
      </c>
      <c r="I19" s="16" t="s">
        <v>173</v>
      </c>
      <c r="J19" s="16" t="s">
        <v>63</v>
      </c>
      <c r="K19" s="16" t="s">
        <v>83</v>
      </c>
      <c r="L19" s="16" t="s">
        <v>38</v>
      </c>
      <c r="M19" s="16">
        <v>1</v>
      </c>
      <c r="N19" s="26">
        <v>10</v>
      </c>
      <c r="O19" s="26">
        <v>9</v>
      </c>
      <c r="P19" s="26">
        <v>0.9</v>
      </c>
      <c r="Q19" s="26">
        <v>1.5</v>
      </c>
      <c r="R19" s="26">
        <f>(N19*O19*P19)/Q19</f>
        <v>54</v>
      </c>
    </row>
    <row r="20" spans="1:18" ht="50" customHeight="1" thickBot="1" x14ac:dyDescent="0.25">
      <c r="A20" s="16" t="s">
        <v>107</v>
      </c>
      <c r="B20" s="16" t="s">
        <v>108</v>
      </c>
      <c r="C20" s="16" t="s">
        <v>109</v>
      </c>
      <c r="D20" s="16" t="s">
        <v>106</v>
      </c>
      <c r="E20" s="16" t="s">
        <v>35</v>
      </c>
      <c r="F20" s="16" t="s">
        <v>125</v>
      </c>
      <c r="G20" s="16" t="s">
        <v>54</v>
      </c>
      <c r="H20" s="16" t="s">
        <v>37</v>
      </c>
      <c r="I20" s="16" t="s">
        <v>141</v>
      </c>
      <c r="J20" s="16"/>
      <c r="K20" s="16" t="s">
        <v>110</v>
      </c>
      <c r="L20" s="16" t="s">
        <v>38</v>
      </c>
      <c r="M20" s="16">
        <v>1</v>
      </c>
      <c r="N20" s="26">
        <v>8</v>
      </c>
      <c r="O20" s="26">
        <v>8</v>
      </c>
      <c r="P20" s="26">
        <v>0.8</v>
      </c>
      <c r="Q20" s="26">
        <v>1</v>
      </c>
      <c r="R20" s="26">
        <f>(N20*O20*P20)/Q20</f>
        <v>51.2</v>
      </c>
    </row>
    <row r="21" spans="1:18" ht="50" customHeight="1" thickBot="1" x14ac:dyDescent="0.25">
      <c r="A21" s="16" t="s">
        <v>79</v>
      </c>
      <c r="B21" s="16" t="s">
        <v>80</v>
      </c>
      <c r="C21" s="16" t="s">
        <v>81</v>
      </c>
      <c r="D21" s="16" t="s">
        <v>74</v>
      </c>
      <c r="E21" s="16" t="s">
        <v>35</v>
      </c>
      <c r="F21" s="16" t="s">
        <v>165</v>
      </c>
      <c r="G21" s="16" t="s">
        <v>58</v>
      </c>
      <c r="H21" s="16" t="s">
        <v>37</v>
      </c>
      <c r="I21" s="16" t="s">
        <v>138</v>
      </c>
      <c r="J21" s="16" t="s">
        <v>82</v>
      </c>
      <c r="K21" s="16" t="s">
        <v>83</v>
      </c>
      <c r="L21" s="16" t="s">
        <v>38</v>
      </c>
      <c r="M21" s="16">
        <v>1</v>
      </c>
      <c r="N21" s="26">
        <v>9</v>
      </c>
      <c r="O21" s="26">
        <v>9</v>
      </c>
      <c r="P21" s="26">
        <v>0.9</v>
      </c>
      <c r="Q21" s="26">
        <v>1.5</v>
      </c>
      <c r="R21" s="26">
        <f>(N21*O21*P21)/Q21</f>
        <v>48.6</v>
      </c>
    </row>
    <row r="22" spans="1:18" ht="50" customHeight="1" thickBot="1" x14ac:dyDescent="0.25">
      <c r="A22" s="16" t="s">
        <v>97</v>
      </c>
      <c r="B22" s="16" t="s">
        <v>174</v>
      </c>
      <c r="C22" s="16" t="s">
        <v>175</v>
      </c>
      <c r="D22" s="16" t="s">
        <v>96</v>
      </c>
      <c r="E22" s="16" t="s">
        <v>35</v>
      </c>
      <c r="F22" s="16" t="s">
        <v>176</v>
      </c>
      <c r="G22" s="16" t="s">
        <v>58</v>
      </c>
      <c r="H22" s="16" t="s">
        <v>37</v>
      </c>
      <c r="I22" s="16" t="s">
        <v>173</v>
      </c>
      <c r="J22" s="16" t="s">
        <v>63</v>
      </c>
      <c r="K22" s="16" t="s">
        <v>83</v>
      </c>
      <c r="L22" s="16" t="s">
        <v>38</v>
      </c>
      <c r="M22" s="16">
        <v>1</v>
      </c>
      <c r="N22" s="26">
        <v>10</v>
      </c>
      <c r="O22" s="26">
        <v>9</v>
      </c>
      <c r="P22" s="26">
        <v>0.8</v>
      </c>
      <c r="Q22" s="26">
        <v>1.5</v>
      </c>
      <c r="R22" s="26">
        <f>(N22*O22*P22)/Q22</f>
        <v>48</v>
      </c>
    </row>
    <row r="23" spans="1:18" ht="50" customHeight="1" thickBot="1" x14ac:dyDescent="0.25">
      <c r="A23" s="16" t="s">
        <v>105</v>
      </c>
      <c r="B23" s="16" t="s">
        <v>182</v>
      </c>
      <c r="C23" s="16" t="s">
        <v>183</v>
      </c>
      <c r="D23" s="16" t="s">
        <v>106</v>
      </c>
      <c r="E23" s="16" t="s">
        <v>94</v>
      </c>
      <c r="F23" s="16" t="s">
        <v>184</v>
      </c>
      <c r="G23" s="16" t="s">
        <v>58</v>
      </c>
      <c r="H23" s="16" t="s">
        <v>37</v>
      </c>
      <c r="I23" s="16" t="s">
        <v>138</v>
      </c>
      <c r="J23" s="16"/>
      <c r="K23" s="16"/>
      <c r="L23" s="16" t="s">
        <v>38</v>
      </c>
      <c r="M23" s="16">
        <v>1</v>
      </c>
      <c r="N23" s="26">
        <v>5</v>
      </c>
      <c r="O23" s="26">
        <v>6</v>
      </c>
      <c r="P23" s="26">
        <v>0.7</v>
      </c>
      <c r="Q23" s="26">
        <v>0.5</v>
      </c>
      <c r="R23" s="26">
        <f>(N23*O23*P23)/Q23</f>
        <v>42</v>
      </c>
    </row>
    <row r="24" spans="1:18" ht="50" customHeight="1" thickBot="1" x14ac:dyDescent="0.25">
      <c r="A24" s="16" t="s">
        <v>56</v>
      </c>
      <c r="B24" s="16" t="s">
        <v>57</v>
      </c>
      <c r="C24" s="16" t="s">
        <v>186</v>
      </c>
      <c r="D24" s="16" t="s">
        <v>46</v>
      </c>
      <c r="E24" s="16" t="s">
        <v>35</v>
      </c>
      <c r="F24" s="16" t="s">
        <v>117</v>
      </c>
      <c r="G24" s="16" t="s">
        <v>58</v>
      </c>
      <c r="H24" s="16" t="s">
        <v>143</v>
      </c>
      <c r="I24" s="16" t="s">
        <v>131</v>
      </c>
      <c r="J24" s="16" t="s">
        <v>59</v>
      </c>
      <c r="K24" s="16" t="s">
        <v>155</v>
      </c>
      <c r="L24" s="16" t="s">
        <v>38</v>
      </c>
      <c r="M24" s="16">
        <v>1</v>
      </c>
      <c r="N24" s="26">
        <v>8</v>
      </c>
      <c r="O24" s="26">
        <v>9</v>
      </c>
      <c r="P24" s="26">
        <v>0.8</v>
      </c>
      <c r="Q24" s="26">
        <v>1.5</v>
      </c>
      <c r="R24" s="26">
        <f>(N24*O24*P24)/Q24</f>
        <v>38.4</v>
      </c>
    </row>
    <row r="25" spans="1:18" ht="50" customHeight="1" thickBot="1" x14ac:dyDescent="0.25">
      <c r="A25" s="16" t="s">
        <v>43</v>
      </c>
      <c r="B25" s="16" t="s">
        <v>44</v>
      </c>
      <c r="C25" s="16" t="s">
        <v>45</v>
      </c>
      <c r="D25" s="16" t="s">
        <v>46</v>
      </c>
      <c r="E25" s="16" t="s">
        <v>35</v>
      </c>
      <c r="F25" s="16" t="s">
        <v>128</v>
      </c>
      <c r="G25" s="16" t="s">
        <v>42</v>
      </c>
      <c r="H25" s="16" t="s">
        <v>142</v>
      </c>
      <c r="I25" s="16" t="s">
        <v>150</v>
      </c>
      <c r="J25" s="16" t="s">
        <v>47</v>
      </c>
      <c r="K25" s="16"/>
      <c r="L25" s="16" t="s">
        <v>38</v>
      </c>
      <c r="M25" s="16">
        <v>1</v>
      </c>
      <c r="N25" s="26">
        <v>10</v>
      </c>
      <c r="O25" s="26">
        <v>10</v>
      </c>
      <c r="P25" s="26">
        <v>0.9</v>
      </c>
      <c r="Q25" s="26">
        <v>2.5</v>
      </c>
      <c r="R25" s="26">
        <f>(N25*O25*P25)/Q25</f>
        <v>36</v>
      </c>
    </row>
    <row r="26" spans="1:18" ht="50" customHeight="1" thickBot="1" x14ac:dyDescent="0.25">
      <c r="A26" s="16" t="s">
        <v>60</v>
      </c>
      <c r="B26" s="16" t="s">
        <v>61</v>
      </c>
      <c r="C26" s="16" t="s">
        <v>62</v>
      </c>
      <c r="D26" s="16" t="s">
        <v>46</v>
      </c>
      <c r="E26" s="16" t="s">
        <v>41</v>
      </c>
      <c r="F26" s="16" t="s">
        <v>118</v>
      </c>
      <c r="G26" s="16" t="s">
        <v>54</v>
      </c>
      <c r="H26" s="16" t="s">
        <v>54</v>
      </c>
      <c r="I26" s="16" t="s">
        <v>130</v>
      </c>
      <c r="J26" s="16" t="s">
        <v>63</v>
      </c>
      <c r="K26" s="16" t="s">
        <v>156</v>
      </c>
      <c r="L26" s="16" t="s">
        <v>38</v>
      </c>
      <c r="M26" s="16">
        <v>1</v>
      </c>
      <c r="N26" s="26">
        <v>7</v>
      </c>
      <c r="O26" s="26">
        <v>7</v>
      </c>
      <c r="P26" s="26">
        <v>0.7</v>
      </c>
      <c r="Q26" s="26">
        <v>1</v>
      </c>
      <c r="R26" s="26">
        <f>(N26*O26*P26)/Q26</f>
        <v>34.299999999999997</v>
      </c>
    </row>
    <row r="27" spans="1:18" ht="50" customHeight="1" thickBot="1" x14ac:dyDescent="0.25">
      <c r="A27" s="16" t="s">
        <v>53</v>
      </c>
      <c r="B27" s="16" t="s">
        <v>153</v>
      </c>
      <c r="C27" s="16" t="s">
        <v>129</v>
      </c>
      <c r="D27" s="16" t="s">
        <v>46</v>
      </c>
      <c r="E27" s="16" t="s">
        <v>35</v>
      </c>
      <c r="F27" s="16" t="s">
        <v>116</v>
      </c>
      <c r="G27" s="16" t="s">
        <v>54</v>
      </c>
      <c r="H27" s="16" t="s">
        <v>54</v>
      </c>
      <c r="I27" s="16" t="s">
        <v>130</v>
      </c>
      <c r="J27" s="16" t="s">
        <v>55</v>
      </c>
      <c r="K27" s="16" t="s">
        <v>154</v>
      </c>
      <c r="L27" s="16" t="s">
        <v>38</v>
      </c>
      <c r="M27" s="16">
        <v>1</v>
      </c>
      <c r="N27" s="26">
        <v>9</v>
      </c>
      <c r="O27" s="26">
        <v>9</v>
      </c>
      <c r="P27" s="26">
        <v>0.8</v>
      </c>
      <c r="Q27" s="26">
        <v>2</v>
      </c>
      <c r="R27" s="26">
        <f>(N27*O27*P27)/Q27</f>
        <v>32.4</v>
      </c>
    </row>
    <row r="28" spans="1:18" ht="50" customHeight="1" thickBot="1" x14ac:dyDescent="0.25">
      <c r="A28" s="16" t="s">
        <v>82</v>
      </c>
      <c r="B28" s="16" t="s">
        <v>84</v>
      </c>
      <c r="C28" s="16" t="s">
        <v>166</v>
      </c>
      <c r="D28" s="16" t="s">
        <v>74</v>
      </c>
      <c r="E28" s="16" t="s">
        <v>35</v>
      </c>
      <c r="F28" s="16" t="s">
        <v>113</v>
      </c>
      <c r="G28" s="16" t="s">
        <v>58</v>
      </c>
      <c r="H28" s="16" t="s">
        <v>37</v>
      </c>
      <c r="I28" s="16" t="s">
        <v>136</v>
      </c>
      <c r="J28" s="16" t="s">
        <v>85</v>
      </c>
      <c r="K28" s="16" t="s">
        <v>83</v>
      </c>
      <c r="L28" s="16" t="s">
        <v>38</v>
      </c>
      <c r="M28" s="16">
        <v>1</v>
      </c>
      <c r="N28" s="26">
        <v>9</v>
      </c>
      <c r="O28" s="26">
        <v>9</v>
      </c>
      <c r="P28" s="26">
        <v>0.8</v>
      </c>
      <c r="Q28" s="26">
        <v>2</v>
      </c>
      <c r="R28" s="26">
        <f>(N28*O28*P28)/Q28</f>
        <v>32.4</v>
      </c>
    </row>
    <row r="29" spans="1:18" ht="50" customHeight="1" thickBot="1" x14ac:dyDescent="0.25">
      <c r="A29" s="16" t="s">
        <v>91</v>
      </c>
      <c r="B29" s="16" t="s">
        <v>167</v>
      </c>
      <c r="C29" s="16" t="s">
        <v>168</v>
      </c>
      <c r="D29" s="16" t="s">
        <v>74</v>
      </c>
      <c r="E29" s="16" t="s">
        <v>41</v>
      </c>
      <c r="F29" s="16" t="s">
        <v>121</v>
      </c>
      <c r="G29" s="16" t="s">
        <v>58</v>
      </c>
      <c r="H29" s="16" t="s">
        <v>37</v>
      </c>
      <c r="I29" s="16" t="s">
        <v>137</v>
      </c>
      <c r="J29" s="16" t="s">
        <v>82</v>
      </c>
      <c r="K29" s="16"/>
      <c r="L29" s="16" t="s">
        <v>38</v>
      </c>
      <c r="M29" s="16">
        <v>1</v>
      </c>
      <c r="N29" s="26">
        <v>9</v>
      </c>
      <c r="O29" s="26">
        <v>9</v>
      </c>
      <c r="P29" s="26">
        <v>0.75</v>
      </c>
      <c r="Q29" s="26">
        <v>2</v>
      </c>
      <c r="R29" s="26">
        <f>(N29*O29*P29)/Q29</f>
        <v>30.375</v>
      </c>
    </row>
    <row r="30" spans="1:18" ht="50" customHeight="1" thickBot="1" x14ac:dyDescent="0.25">
      <c r="A30" s="16" t="s">
        <v>32</v>
      </c>
      <c r="B30" s="16" t="s">
        <v>33</v>
      </c>
      <c r="C30" s="16" t="s">
        <v>148</v>
      </c>
      <c r="D30" s="16" t="s">
        <v>34</v>
      </c>
      <c r="E30" s="16" t="s">
        <v>35</v>
      </c>
      <c r="F30" s="16" t="s">
        <v>111</v>
      </c>
      <c r="G30" s="16" t="s">
        <v>36</v>
      </c>
      <c r="H30" s="16" t="s">
        <v>42</v>
      </c>
      <c r="I30" s="16" t="s">
        <v>146</v>
      </c>
      <c r="J30" s="16"/>
      <c r="K30" s="16" t="s">
        <v>126</v>
      </c>
      <c r="L30" s="16" t="s">
        <v>52</v>
      </c>
      <c r="M30" s="16">
        <v>1</v>
      </c>
      <c r="N30" s="26">
        <v>10</v>
      </c>
      <c r="O30" s="26">
        <v>10</v>
      </c>
      <c r="P30" s="26">
        <v>0.9</v>
      </c>
      <c r="Q30" s="26">
        <v>3</v>
      </c>
      <c r="R30" s="26">
        <f>(N30*O30*P30)/Q30</f>
        <v>30</v>
      </c>
    </row>
    <row r="31" spans="1:18" ht="50" customHeight="1" thickBot="1" x14ac:dyDescent="0.25">
      <c r="A31" s="16" t="s">
        <v>89</v>
      </c>
      <c r="B31" s="16" t="s">
        <v>92</v>
      </c>
      <c r="C31" s="16" t="s">
        <v>93</v>
      </c>
      <c r="D31" s="16" t="s">
        <v>74</v>
      </c>
      <c r="E31" s="16" t="s">
        <v>94</v>
      </c>
      <c r="F31" s="16" t="s">
        <v>122</v>
      </c>
      <c r="G31" s="16" t="s">
        <v>58</v>
      </c>
      <c r="H31" s="16" t="s">
        <v>37</v>
      </c>
      <c r="I31" s="16" t="s">
        <v>169</v>
      </c>
      <c r="J31" s="16" t="s">
        <v>86</v>
      </c>
      <c r="K31" s="16"/>
      <c r="L31" s="16" t="s">
        <v>38</v>
      </c>
      <c r="M31" s="16">
        <v>1</v>
      </c>
      <c r="N31" s="26">
        <v>7</v>
      </c>
      <c r="O31" s="26">
        <v>6</v>
      </c>
      <c r="P31" s="26">
        <v>0.7</v>
      </c>
      <c r="Q31" s="26">
        <v>1</v>
      </c>
      <c r="R31" s="26">
        <f>(N31*O31*P31)/Q31</f>
        <v>29.4</v>
      </c>
    </row>
    <row r="32" spans="1:18" ht="50" customHeight="1" thickBot="1" x14ac:dyDescent="0.25">
      <c r="A32" s="16" t="s">
        <v>86</v>
      </c>
      <c r="B32" s="16" t="s">
        <v>87</v>
      </c>
      <c r="C32" s="16" t="s">
        <v>88</v>
      </c>
      <c r="D32" s="16" t="s">
        <v>74</v>
      </c>
      <c r="E32" s="16" t="s">
        <v>41</v>
      </c>
      <c r="F32" s="16" t="s">
        <v>114</v>
      </c>
      <c r="G32" s="16" t="s">
        <v>58</v>
      </c>
      <c r="H32" s="16" t="s">
        <v>37</v>
      </c>
      <c r="I32" s="16" t="s">
        <v>181</v>
      </c>
      <c r="J32" s="16" t="s">
        <v>89</v>
      </c>
      <c r="K32" s="16" t="s">
        <v>90</v>
      </c>
      <c r="L32" s="16" t="s">
        <v>38</v>
      </c>
      <c r="M32" s="16">
        <v>1</v>
      </c>
      <c r="N32" s="26">
        <v>9</v>
      </c>
      <c r="O32" s="26">
        <v>8</v>
      </c>
      <c r="P32" s="26">
        <v>0.8</v>
      </c>
      <c r="Q32" s="26">
        <v>2</v>
      </c>
      <c r="R32" s="26">
        <f>(N32*O32*P32)/Q32</f>
        <v>28.8</v>
      </c>
    </row>
    <row r="33" spans="1:18" ht="50" customHeight="1" thickBot="1" x14ac:dyDescent="0.25">
      <c r="A33" s="16" t="s">
        <v>66</v>
      </c>
      <c r="B33" s="16" t="s">
        <v>67</v>
      </c>
      <c r="C33" s="16" t="s">
        <v>68</v>
      </c>
      <c r="D33" s="16" t="s">
        <v>46</v>
      </c>
      <c r="E33" s="16" t="s">
        <v>41</v>
      </c>
      <c r="F33" s="16" t="s">
        <v>158</v>
      </c>
      <c r="G33" s="16" t="s">
        <v>144</v>
      </c>
      <c r="H33" s="16" t="s">
        <v>144</v>
      </c>
      <c r="I33" s="16" t="s">
        <v>159</v>
      </c>
      <c r="J33" s="16"/>
      <c r="K33" s="16" t="s">
        <v>160</v>
      </c>
      <c r="L33" s="16" t="s">
        <v>38</v>
      </c>
      <c r="M33" s="16">
        <v>1</v>
      </c>
      <c r="N33" s="26">
        <v>6</v>
      </c>
      <c r="O33" s="26">
        <v>8</v>
      </c>
      <c r="P33" s="26">
        <v>0.7</v>
      </c>
      <c r="Q33" s="26">
        <v>1.5</v>
      </c>
      <c r="R33" s="26">
        <f>(N33*O33*P33)/Q33</f>
        <v>22.399999999999995</v>
      </c>
    </row>
    <row r="34" spans="1:18" ht="50" customHeight="1" thickBot="1" x14ac:dyDescent="0.25">
      <c r="A34" s="16" t="s">
        <v>69</v>
      </c>
      <c r="B34" s="16" t="s">
        <v>70</v>
      </c>
      <c r="C34" s="16" t="s">
        <v>71</v>
      </c>
      <c r="D34" s="16" t="s">
        <v>46</v>
      </c>
      <c r="E34" s="16" t="s">
        <v>41</v>
      </c>
      <c r="F34" s="16" t="s">
        <v>161</v>
      </c>
      <c r="G34" s="16" t="s">
        <v>145</v>
      </c>
      <c r="H34" s="16" t="s">
        <v>145</v>
      </c>
      <c r="I34" s="16" t="s">
        <v>133</v>
      </c>
      <c r="J34" s="16"/>
      <c r="K34" s="16" t="s">
        <v>162</v>
      </c>
      <c r="L34" s="16" t="s">
        <v>38</v>
      </c>
      <c r="M34" s="16">
        <v>1</v>
      </c>
      <c r="N34" s="26">
        <v>7</v>
      </c>
      <c r="O34" s="26">
        <v>9</v>
      </c>
      <c r="P34" s="26">
        <v>0.7</v>
      </c>
      <c r="Q34" s="26">
        <v>2</v>
      </c>
      <c r="R34" s="26">
        <f>(N34*O34*P34)/Q34</f>
        <v>22.049999999999997</v>
      </c>
    </row>
    <row r="35" spans="1:18" ht="50" customHeight="1" thickBot="1" x14ac:dyDescent="0.25">
      <c r="A35" s="16" t="s">
        <v>39</v>
      </c>
      <c r="B35" s="16" t="s">
        <v>40</v>
      </c>
      <c r="C35" s="16" t="s">
        <v>147</v>
      </c>
      <c r="D35" s="16" t="s">
        <v>34</v>
      </c>
      <c r="E35" s="16" t="s">
        <v>35</v>
      </c>
      <c r="F35" s="16" t="s">
        <v>112</v>
      </c>
      <c r="G35" s="16" t="s">
        <v>42</v>
      </c>
      <c r="H35" s="16" t="s">
        <v>42</v>
      </c>
      <c r="I35" s="16" t="s">
        <v>149</v>
      </c>
      <c r="J35" s="16"/>
      <c r="K35" s="16" t="s">
        <v>127</v>
      </c>
      <c r="L35" s="16" t="s">
        <v>38</v>
      </c>
      <c r="M35" s="16">
        <v>1</v>
      </c>
      <c r="N35" s="26">
        <v>10</v>
      </c>
      <c r="O35" s="26">
        <v>10</v>
      </c>
      <c r="P35" s="26">
        <v>0.8</v>
      </c>
      <c r="Q35" s="26">
        <v>4</v>
      </c>
      <c r="R35" s="26">
        <f>(N35*O35*P35)/Q35</f>
        <v>20</v>
      </c>
    </row>
    <row r="36" spans="1:18" ht="50" customHeight="1" thickBot="1" x14ac:dyDescent="0.25">
      <c r="A36" s="16" t="s">
        <v>48</v>
      </c>
      <c r="B36" s="16" t="s">
        <v>151</v>
      </c>
      <c r="C36" s="16" t="s">
        <v>49</v>
      </c>
      <c r="D36" s="16" t="s">
        <v>46</v>
      </c>
      <c r="E36" s="16" t="s">
        <v>41</v>
      </c>
      <c r="F36" s="16" t="s">
        <v>115</v>
      </c>
      <c r="G36" s="16" t="s">
        <v>42</v>
      </c>
      <c r="H36" s="16" t="s">
        <v>42</v>
      </c>
      <c r="I36" s="16" t="s">
        <v>152</v>
      </c>
      <c r="J36" s="16" t="s">
        <v>51</v>
      </c>
      <c r="K36" s="16"/>
      <c r="L36" s="16" t="s">
        <v>38</v>
      </c>
      <c r="M36" s="16">
        <v>1</v>
      </c>
      <c r="N36" s="26">
        <v>8</v>
      </c>
      <c r="O36" s="26">
        <v>9</v>
      </c>
      <c r="P36" s="26">
        <v>0.8</v>
      </c>
      <c r="Q36" s="26">
        <v>4</v>
      </c>
      <c r="R36" s="26">
        <f>(N36*O36*P36)/Q36</f>
        <v>14.4</v>
      </c>
    </row>
    <row r="37" spans="1:18" ht="14.25" customHeight="1" x14ac:dyDescent="0.15"/>
    <row r="38" spans="1:18" ht="14.25" customHeight="1" x14ac:dyDescent="0.15"/>
    <row r="39" spans="1:18" ht="14.25" customHeight="1" x14ac:dyDescent="0.15"/>
    <row r="40" spans="1:18" ht="14.25" customHeight="1" x14ac:dyDescent="0.15"/>
    <row r="41" spans="1:18" ht="14.25" customHeight="1" x14ac:dyDescent="0.15"/>
    <row r="42" spans="1:18" ht="14.25" customHeight="1" x14ac:dyDescent="0.15"/>
    <row r="43" spans="1:18" ht="14.25" customHeight="1" x14ac:dyDescent="0.15"/>
    <row r="44" spans="1:18" ht="14.25" customHeight="1" x14ac:dyDescent="0.15"/>
    <row r="45" spans="1:18" ht="14.25" customHeight="1" x14ac:dyDescent="0.15"/>
    <row r="46" spans="1:18" ht="14.25" customHeight="1" x14ac:dyDescent="0.15"/>
    <row r="47" spans="1:18" ht="14.25" customHeight="1" x14ac:dyDescent="0.15"/>
    <row r="48" spans="1:1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</sheetData>
  <autoFilter ref="A13:R36" xr:uid="{00000000-0001-0000-0100-000000000000}">
    <sortState xmlns:xlrd2="http://schemas.microsoft.com/office/spreadsheetml/2017/richdata2" ref="A14:R36">
      <sortCondition descending="1" ref="R13:R36"/>
    </sortState>
  </autoFilter>
  <mergeCells count="6">
    <mergeCell ref="N12:R12"/>
    <mergeCell ref="A2:M2"/>
    <mergeCell ref="A12:F12"/>
    <mergeCell ref="G12:I12"/>
    <mergeCell ref="J12:K12"/>
    <mergeCell ref="L12:M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Waterman</dc:creator>
  <cp:lastModifiedBy>chitrangi doshi</cp:lastModifiedBy>
  <dcterms:created xsi:type="dcterms:W3CDTF">2024-05-21T15:59:16Z</dcterms:created>
  <dcterms:modified xsi:type="dcterms:W3CDTF">2026-03-19T17:40:43Z</dcterms:modified>
</cp:coreProperties>
</file>